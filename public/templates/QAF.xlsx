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D:\"/>
    </mc:Choice>
  </mc:AlternateContent>
  <xr:revisionPtr revIDLastSave="0" documentId="13_ncr:1_{CC57C4EF-1E5C-4F39-A16D-B16B92E85264}" xr6:coauthVersionLast="47" xr6:coauthVersionMax="47" xr10:uidLastSave="{00000000-0000-0000-0000-000000000000}"/>
  <workbookProtection workbookAlgorithmName="SHA-512" workbookHashValue="Ou75+rC6Ue/hvEWk6jPLgv/q7coEFB4jnjjlDH35fsZyvLGHqxjfg/IZFuD3/bYWMbyDsHjc9NCO1tU7llUZsQ==" workbookSaltValue="/8tAeNYyG66e3QKNDENbgA==" workbookSpinCount="100000" lockStructure="1"/>
  <bookViews>
    <workbookView xWindow="-120" yWindow="-120" windowWidth="29040" windowHeight="17520" activeTab="3" xr2:uid="{00000000-000D-0000-FFFF-FFFF00000000}"/>
  </bookViews>
  <sheets>
    <sheet name="QAF628" sheetId="1" r:id="rId1"/>
    <sheet name="ORO Optical Materials" sheetId="8" r:id="rId2"/>
    <sheet name="Materials" sheetId="9" r:id="rId3"/>
    <sheet name="Services" sheetId="6" r:id="rId4"/>
    <sheet name="Name_manager" sheetId="11" state="hidden" r:id="rId5"/>
    <sheet name="Nu sterge" sheetId="3" state="hidden" r:id="rId6"/>
  </sheets>
  <definedNames>
    <definedName name="_xlnm._FilterDatabase" localSheetId="2" hidden="1">Materials!$A$1:$E$92</definedName>
    <definedName name="_xlnm._FilterDatabase" localSheetId="4" hidden="1">Name_manager!$A$1:$F$85</definedName>
    <definedName name="_xlnm._FilterDatabase" localSheetId="1" hidden="1">'ORO Optical Materials'!$A$1:$D$30</definedName>
    <definedName name="_xlnm._FilterDatabase" localSheetId="3" hidden="1">Services!$A$1:$F$1</definedName>
    <definedName name="Alte_observatii">'QAF628'!$B$67</definedName>
    <definedName name="cable_cap">'QAF628'!$D$11</definedName>
    <definedName name="Cam1_mapata_NICM">'QAF628'!$M$51</definedName>
    <definedName name="Cam2_mapata_NICM">'QAF628'!$M$52</definedName>
    <definedName name="Cam3_mapata_NICM">'QAF628'!$M$53</definedName>
    <definedName name="Cam4_mapata_NICM">'QAF628'!$M$54</definedName>
    <definedName name="Cauza">'QAF628'!$C$23</definedName>
    <definedName name="data_finalizare_optic">'QAF628'!$F$21</definedName>
    <definedName name="data_localizare_incident">'QAF628'!$F$20</definedName>
    <definedName name="data_solicitare_interv">'QAF628'!$F$18</definedName>
    <definedName name="data_sosire_in_zona_incident">'QAF628'!$F$19</definedName>
    <definedName name="Descriere_incident">'QAF628'!$C$25</definedName>
    <definedName name="Descriere_remediere">'QAF628'!$C$29</definedName>
    <definedName name="distanta_fault1">'QAF628'!$P$15</definedName>
    <definedName name="distanta_fault2">'QAF628'!$Q$15</definedName>
    <definedName name="EVR">'QAF628'!$D$15</definedName>
    <definedName name="execute_contractor">'QAF628'!$K$9</definedName>
    <definedName name="fisiere_atasate">'QAF628'!$K$56</definedName>
    <definedName name="J1_mapata_NICM">'QAF628'!$L$41</definedName>
    <definedName name="J1_to_A">'QAF628'!$P$41</definedName>
    <definedName name="J1_to_B">'QAF628'!$R$41</definedName>
    <definedName name="J2_mapata_NICM">'QAF628'!$L$42</definedName>
    <definedName name="J2_to_A">'QAF628'!$P$42</definedName>
    <definedName name="J2_to_B">'QAF628'!$R$42</definedName>
    <definedName name="J3_mapata_NICM">'QAF628'!$L$43</definedName>
    <definedName name="J3_to_A">'QAF628'!$P$43</definedName>
    <definedName name="J3_to_B">'QAF628'!$R$43</definedName>
    <definedName name="J4_mapata_NICM">'QAF628'!$L$44</definedName>
    <definedName name="J4_to_A">'QAF628'!$P$44</definedName>
    <definedName name="J4_to_B">'QAF628'!$R$44</definedName>
    <definedName name="Judet">'QAF628'!$H$14</definedName>
    <definedName name="link_C1">'QAF628'!$G$51</definedName>
    <definedName name="link_C2">'QAF628'!$G$52</definedName>
    <definedName name="link_C3">'QAF628'!$G$53</definedName>
    <definedName name="link_C4">'QAF628'!$G$54</definedName>
    <definedName name="link_incident1">'QAF628'!$C$35</definedName>
    <definedName name="link_incident2">'QAF628'!$C$39</definedName>
    <definedName name="link_J1">'QAF628'!$G$41</definedName>
    <definedName name="link_J2">'QAF628'!$G$42</definedName>
    <definedName name="link_J3">'QAF628'!$G$43</definedName>
    <definedName name="link_J4">'QAF628'!$G$44</definedName>
    <definedName name="locatie_masuratoare1">'QAF628'!$P$14</definedName>
    <definedName name="locatie_masuratoare2">'QAF628'!$Q$14</definedName>
    <definedName name="masuratori_finale_fo_masurate">'QAF628'!$I$56</definedName>
    <definedName name="masuratori_finale_ODF">'QAF628'!$E$56</definedName>
    <definedName name="masuratori_finale_siteA">'QAF628'!$C$56</definedName>
    <definedName name="masuratori_finale_toSiteB">'QAF628'!$G$56</definedName>
    <definedName name="nume_c1_noua">'QAF628'!$N$51</definedName>
    <definedName name="nume_c2_noua">'QAF628'!$N$52</definedName>
    <definedName name="nume_c3_noua">'QAF628'!$N$53</definedName>
    <definedName name="nume_c4_noua">'QAF628'!$N$54</definedName>
    <definedName name="nume_j1_noua">'QAF628'!$C$46</definedName>
    <definedName name="nume_j2_noua">'QAF628'!$C$47</definedName>
    <definedName name="nume_j3_noua">'QAF628'!$C$48</definedName>
    <definedName name="nume_j4_noua">'QAF628'!$C$49</definedName>
    <definedName name="Nume_tronson">'QAF628'!$D$7</definedName>
    <definedName name="Obs">'QAF628'!$A$59</definedName>
    <definedName name="ora_finalizare_optic">'QAF628'!$G$21</definedName>
    <definedName name="ora_localizare_incident">'QAF628'!$G$20</definedName>
    <definedName name="ora_solicitare_interv">'QAF628'!$G$18</definedName>
    <definedName name="ora_sosire_in_zona_incident">'QAF628'!$G$19</definedName>
    <definedName name="Plecare">'QAF628'!$D$16</definedName>
    <definedName name="Proposals">'QAF628'!$A$59</definedName>
    <definedName name="qaf_code">'QAF628'!$A$1</definedName>
    <definedName name="rezerva_J1_to_A">'QAF628'!$O$41</definedName>
    <definedName name="rezerva_J1_to_B">'QAF628'!$Q$41</definedName>
    <definedName name="rezerva_J2_to_A">'QAF628'!$O$42</definedName>
    <definedName name="rezerva_J2_to_B">'QAF628'!$Q$42</definedName>
    <definedName name="rezerva_J3_to_A">'QAF628'!$O$43</definedName>
    <definedName name="rezerva_J3_to_B">'QAF628'!$Q$43</definedName>
    <definedName name="rezerva_J4_to_A">'QAF628'!$O$44</definedName>
    <definedName name="rezerva_J4_to_B">'QAF628'!$Q$44</definedName>
    <definedName name="site_code_A">'QAF628'!$D$5</definedName>
    <definedName name="site_code_B">'QAF628'!$K$5</definedName>
    <definedName name="SLA">'QAF628'!$F$14</definedName>
    <definedName name="Tip">'QAF628'!$I$11</definedName>
    <definedName name="Tip_interv">'QAF628'!$D$14</definedName>
    <definedName name="tip_j1">'QAF628'!$M$41</definedName>
    <definedName name="tip_j2">'QAF628'!$M$42</definedName>
    <definedName name="tip_j3">'QAF628'!$M$43</definedName>
    <definedName name="tip_j4">'QAF628'!$M$44</definedName>
    <definedName name="tip_jonctiune">'Nu sterge'!$A$21:$A$23</definedName>
    <definedName name="topologie_tronson">'QAF628'!$D$9</definedName>
    <definedName name="validate_date">'QAF628'!$F$79</definedName>
    <definedName name="validate_name">'QAF628'!$C$77</definedName>
    <definedName name="validate_result">'QAF628'!$J$77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G1" i="6" l="1"/>
  <c r="F1" i="6" s="1"/>
  <c r="I78" i="1" l="1"/>
  <c r="J17" i="1"/>
  <c r="P18" i="1" s="1"/>
  <c r="J11" i="11" l="1"/>
  <c r="L11" i="11" s="1"/>
  <c r="J10" i="11"/>
  <c r="L10" i="11" s="1"/>
  <c r="J9" i="11"/>
  <c r="L9" i="11" s="1"/>
  <c r="D73" i="11"/>
  <c r="D27" i="11"/>
  <c r="D25" i="11"/>
  <c r="D23" i="11"/>
  <c r="D19" i="11"/>
  <c r="D21" i="11"/>
  <c r="D28" i="11"/>
  <c r="D29" i="11"/>
  <c r="D15" i="11"/>
  <c r="D16" i="11"/>
  <c r="D17" i="11"/>
  <c r="D6" i="11"/>
  <c r="D76" i="11"/>
  <c r="D32" i="11"/>
  <c r="D33" i="11"/>
  <c r="D34" i="11"/>
  <c r="D39" i="11"/>
  <c r="D40" i="11"/>
  <c r="D41" i="11"/>
  <c r="D46" i="11"/>
  <c r="D47" i="11"/>
  <c r="D48" i="11"/>
  <c r="D53" i="11"/>
  <c r="D54" i="11"/>
  <c r="D55" i="11"/>
  <c r="D10" i="11"/>
  <c r="D65" i="11"/>
  <c r="D68" i="11"/>
  <c r="D71" i="11"/>
  <c r="D74" i="11"/>
  <c r="D30" i="11"/>
  <c r="D31" i="11"/>
  <c r="D35" i="11"/>
  <c r="D42" i="11"/>
  <c r="D49" i="11"/>
  <c r="D56" i="11"/>
  <c r="D11" i="11"/>
  <c r="D12" i="11"/>
  <c r="D77" i="11"/>
  <c r="D78" i="11"/>
  <c r="D79" i="11"/>
  <c r="D80" i="11"/>
  <c r="D66" i="11"/>
  <c r="D69" i="11"/>
  <c r="D72" i="11"/>
  <c r="D75" i="11"/>
  <c r="D60" i="11"/>
  <c r="D61" i="11"/>
  <c r="D62" i="11"/>
  <c r="D63" i="11"/>
  <c r="D5" i="11"/>
  <c r="D81" i="11"/>
  <c r="D26" i="11"/>
  <c r="D24" i="11"/>
  <c r="D20" i="11"/>
  <c r="D22" i="11"/>
  <c r="D18" i="11"/>
  <c r="D82" i="11"/>
  <c r="D2" i="11"/>
  <c r="D36" i="11"/>
  <c r="D37" i="11"/>
  <c r="D43" i="11"/>
  <c r="D44" i="11"/>
  <c r="D50" i="11"/>
  <c r="D51" i="11"/>
  <c r="D57" i="11"/>
  <c r="D58" i="11"/>
  <c r="D3" i="11"/>
  <c r="D4" i="11"/>
  <c r="D13" i="11"/>
  <c r="D9" i="11"/>
  <c r="D14" i="11"/>
  <c r="D38" i="11"/>
  <c r="D45" i="11"/>
  <c r="D52" i="11"/>
  <c r="D59" i="11"/>
  <c r="D7" i="11"/>
  <c r="D85" i="11"/>
  <c r="D84" i="11"/>
  <c r="D8" i="11"/>
  <c r="D64" i="11"/>
  <c r="D67" i="11"/>
  <c r="D70" i="11"/>
  <c r="D83" i="11"/>
  <c r="C54" i="11"/>
  <c r="C59" i="11"/>
  <c r="C9" i="11"/>
  <c r="C44" i="11"/>
  <c r="C57" i="11"/>
  <c r="C60" i="11"/>
  <c r="C32" i="11"/>
  <c r="C18" i="11"/>
  <c r="C36" i="11"/>
  <c r="C62" i="11"/>
  <c r="C83" i="11"/>
  <c r="C6" i="11"/>
  <c r="C69" i="11"/>
  <c r="C8" i="11"/>
  <c r="C7" i="11"/>
  <c r="C78" i="11"/>
  <c r="C40" i="11"/>
  <c r="C72" i="11"/>
  <c r="C61" i="11"/>
  <c r="C46" i="11"/>
  <c r="C64" i="11"/>
  <c r="C15" i="11"/>
  <c r="C2" i="11"/>
  <c r="C39" i="11"/>
  <c r="C22" i="11"/>
  <c r="C80" i="11"/>
  <c r="C24" i="11"/>
  <c r="C41" i="11"/>
  <c r="C33" i="11"/>
  <c r="C66" i="11"/>
  <c r="C51" i="11"/>
  <c r="C63" i="11"/>
  <c r="C84" i="11"/>
  <c r="C12" i="11"/>
  <c r="C11" i="11"/>
  <c r="C47" i="11"/>
  <c r="C75" i="11"/>
  <c r="C27" i="11"/>
  <c r="C20" i="11"/>
  <c r="C5" i="11"/>
  <c r="C37" i="11"/>
  <c r="C73" i="11"/>
  <c r="C58" i="11"/>
  <c r="C38" i="11"/>
  <c r="C82" i="11"/>
  <c r="C45" i="11"/>
  <c r="C50" i="11"/>
  <c r="C70" i="11"/>
  <c r="C26" i="11"/>
  <c r="C17" i="11"/>
  <c r="C53" i="11"/>
  <c r="C55" i="11"/>
  <c r="C13" i="11"/>
  <c r="C34" i="11"/>
  <c r="C76" i="11"/>
  <c r="C79" i="11"/>
  <c r="C29" i="11"/>
  <c r="C10" i="11"/>
  <c r="C4" i="11"/>
  <c r="C48" i="11"/>
  <c r="C67" i="11"/>
  <c r="C28" i="11"/>
  <c r="C16" i="11"/>
  <c r="C77" i="11"/>
  <c r="C43" i="11"/>
  <c r="C81" i="11"/>
  <c r="C14" i="11"/>
  <c r="C3" i="11"/>
  <c r="C52" i="11"/>
  <c r="F7" i="11" l="1"/>
  <c r="F38" i="11"/>
  <c r="F4" i="11"/>
  <c r="F51" i="11"/>
  <c r="F37" i="11"/>
  <c r="F18" i="11"/>
  <c r="F26" i="11"/>
  <c r="F62" i="11"/>
  <c r="F72" i="11"/>
  <c r="F79" i="11"/>
  <c r="F11" i="11"/>
  <c r="F55" i="11"/>
  <c r="F47" i="11"/>
  <c r="F39" i="11"/>
  <c r="F76" i="11"/>
  <c r="F15" i="11"/>
  <c r="F73" i="11"/>
  <c r="F3" i="11"/>
  <c r="F59" i="11"/>
  <c r="F14" i="11"/>
  <c r="F50" i="11"/>
  <c r="F36" i="11"/>
  <c r="F22" i="11"/>
  <c r="F81" i="11"/>
  <c r="F61" i="11"/>
  <c r="F69" i="11"/>
  <c r="F78" i="11"/>
  <c r="F54" i="11"/>
  <c r="F46" i="11"/>
  <c r="F34" i="11"/>
  <c r="F6" i="11"/>
  <c r="F29" i="11"/>
  <c r="F9" i="11"/>
  <c r="F2" i="11"/>
  <c r="F60" i="11"/>
  <c r="F41" i="11"/>
  <c r="F52" i="11"/>
  <c r="F44" i="11"/>
  <c r="F5" i="11"/>
  <c r="F17" i="11"/>
  <c r="F84" i="11"/>
  <c r="F58" i="11"/>
  <c r="F20" i="11"/>
  <c r="F66" i="11"/>
  <c r="F77" i="11"/>
  <c r="F53" i="11"/>
  <c r="F33" i="11"/>
  <c r="F28" i="11"/>
  <c r="F45" i="11"/>
  <c r="F13" i="11"/>
  <c r="F57" i="11"/>
  <c r="F43" i="11"/>
  <c r="F82" i="11"/>
  <c r="F24" i="11"/>
  <c r="F63" i="11"/>
  <c r="F75" i="11"/>
  <c r="F80" i="11"/>
  <c r="F12" i="11"/>
  <c r="F10" i="11"/>
  <c r="F48" i="11"/>
  <c r="F40" i="11"/>
  <c r="F32" i="11"/>
  <c r="F16" i="11"/>
  <c r="F27" i="11"/>
  <c r="F70" i="11"/>
  <c r="F67" i="11"/>
  <c r="F64" i="11"/>
  <c r="F8" i="11"/>
  <c r="F83" i="11"/>
  <c r="J7" i="11" s="1"/>
  <c r="L7" i="11" s="1"/>
  <c r="J6" i="11" l="1"/>
  <c r="L6" i="11" s="1"/>
  <c r="J2" i="11"/>
  <c r="J12" i="11"/>
  <c r="L12" i="11" s="1"/>
  <c r="L2" i="11" l="1"/>
  <c r="P7" i="1" l="1"/>
  <c r="K11" i="1" l="1"/>
  <c r="P68" i="1"/>
  <c r="F19" i="1" l="1"/>
  <c r="F20" i="1"/>
  <c r="F21" i="1"/>
  <c r="K6" i="1"/>
  <c r="C25" i="11"/>
  <c r="C23" i="11"/>
  <c r="C21" i="11"/>
  <c r="F25" i="11" l="1"/>
  <c r="F21" i="11"/>
  <c r="F23" i="11"/>
  <c r="J28" i="3"/>
  <c r="J25" i="3"/>
  <c r="P25" i="3" s="1"/>
  <c r="I28" i="3"/>
  <c r="M29" i="3" s="1"/>
  <c r="S28" i="3" s="1"/>
  <c r="I25" i="3"/>
  <c r="L25" i="3" s="1"/>
  <c r="K28" i="3" l="1"/>
  <c r="Q28" i="3" s="1"/>
  <c r="L28" i="3"/>
  <c r="L26" i="3"/>
  <c r="R25" i="3" s="1"/>
  <c r="M25" i="3"/>
  <c r="V25" i="3" s="1"/>
  <c r="N28" i="3"/>
  <c r="Q29" i="3" s="1"/>
  <c r="O28" i="3"/>
  <c r="O25" i="3"/>
  <c r="P26" i="3"/>
  <c r="S26" i="3" s="1"/>
  <c r="P28" i="3"/>
  <c r="L29" i="3"/>
  <c r="R28" i="3" s="1"/>
  <c r="M28" i="3"/>
  <c r="M26" i="3"/>
  <c r="S25" i="3" s="1"/>
  <c r="O29" i="3"/>
  <c r="R29" i="3" s="1"/>
  <c r="N25" i="3"/>
  <c r="Q26" i="3" s="1"/>
  <c r="O26" i="3"/>
  <c r="R26" i="3" s="1"/>
  <c r="P29" i="3"/>
  <c r="S29" i="3" s="1"/>
  <c r="K25" i="3"/>
  <c r="Q25" i="3" s="1"/>
  <c r="I17" i="1"/>
  <c r="U28" i="3" l="1"/>
  <c r="U25" i="3"/>
  <c r="T25" i="3"/>
  <c r="V28" i="3"/>
  <c r="T28" i="3"/>
  <c r="T26" i="3"/>
  <c r="T29" i="3"/>
  <c r="W28" i="3" l="1"/>
  <c r="G54" i="1" s="1"/>
  <c r="W25" i="3"/>
  <c r="G53" i="1" s="1"/>
  <c r="O38" i="1"/>
  <c r="O37" i="1"/>
  <c r="R37" i="1" s="1"/>
  <c r="C74" i="11"/>
  <c r="C71" i="11"/>
  <c r="F74" i="11" l="1"/>
  <c r="F71" i="11"/>
  <c r="F18" i="1"/>
  <c r="C19" i="11"/>
  <c r="F19" i="11" l="1"/>
  <c r="J3" i="11" s="1"/>
  <c r="L3" i="11" s="1"/>
  <c r="J22" i="3"/>
  <c r="I22" i="3"/>
  <c r="M23" i="3" s="1"/>
  <c r="S22" i="3" s="1"/>
  <c r="J19" i="3"/>
  <c r="I19" i="3"/>
  <c r="M20" i="3" s="1"/>
  <c r="S19" i="3" s="1"/>
  <c r="L22" i="3" l="1"/>
  <c r="N22" i="3"/>
  <c r="Q23" i="3" s="1"/>
  <c r="T23" i="3" s="1"/>
  <c r="P22" i="3"/>
  <c r="L23" i="3"/>
  <c r="R22" i="3" s="1"/>
  <c r="O23" i="3"/>
  <c r="R23" i="3" s="1"/>
  <c r="K22" i="3"/>
  <c r="Q22" i="3" s="1"/>
  <c r="T22" i="3" s="1"/>
  <c r="M22" i="3"/>
  <c r="O22" i="3"/>
  <c r="P23" i="3"/>
  <c r="S23" i="3" s="1"/>
  <c r="L19" i="3"/>
  <c r="N19" i="3"/>
  <c r="Q20" i="3" s="1"/>
  <c r="T20" i="3" s="1"/>
  <c r="P19" i="3"/>
  <c r="V19" i="3"/>
  <c r="L20" i="3"/>
  <c r="R19" i="3" s="1"/>
  <c r="O20" i="3"/>
  <c r="R20" i="3" s="1"/>
  <c r="K19" i="3"/>
  <c r="Q19" i="3" s="1"/>
  <c r="T19" i="3" s="1"/>
  <c r="M19" i="3"/>
  <c r="O19" i="3"/>
  <c r="P20" i="3"/>
  <c r="S20" i="3" s="1"/>
  <c r="U22" i="3" l="1"/>
  <c r="V22" i="3"/>
  <c r="U19" i="3"/>
  <c r="W22" i="3" l="1"/>
  <c r="G52" i="1" s="1"/>
  <c r="W19" i="3"/>
  <c r="G51" i="1" s="1"/>
  <c r="C65" i="11"/>
  <c r="C68" i="11"/>
  <c r="F65" i="11" l="1"/>
  <c r="F68" i="11"/>
  <c r="J16" i="3"/>
  <c r="O17" i="3" s="1"/>
  <c r="R17" i="3" s="1"/>
  <c r="J13" i="3"/>
  <c r="I16" i="3"/>
  <c r="L17" i="3" s="1"/>
  <c r="R16" i="3" s="1"/>
  <c r="I13" i="3"/>
  <c r="J7" i="3"/>
  <c r="I7" i="3"/>
  <c r="J10" i="3"/>
  <c r="I10" i="3"/>
  <c r="I1" i="3"/>
  <c r="J4" i="3"/>
  <c r="I4" i="3"/>
  <c r="J1" i="3"/>
  <c r="P10" i="3" l="1"/>
  <c r="M14" i="3"/>
  <c r="S13" i="3" s="1"/>
  <c r="M8" i="3"/>
  <c r="S7" i="3" s="1"/>
  <c r="P14" i="3"/>
  <c r="S14" i="3" s="1"/>
  <c r="M5" i="3"/>
  <c r="S4" i="3" s="1"/>
  <c r="M11" i="3"/>
  <c r="S10" i="3" s="1"/>
  <c r="P17" i="3"/>
  <c r="S17" i="3" s="1"/>
  <c r="L2" i="3"/>
  <c r="R1" i="3" s="1"/>
  <c r="N16" i="3"/>
  <c r="Q17" i="3" s="1"/>
  <c r="P16" i="3"/>
  <c r="M16" i="3"/>
  <c r="K13" i="3"/>
  <c r="Q13" i="3" s="1"/>
  <c r="L14" i="3"/>
  <c r="R13" i="3" s="1"/>
  <c r="N13" i="3"/>
  <c r="Q14" i="3" s="1"/>
  <c r="M13" i="3"/>
  <c r="P13" i="3"/>
  <c r="O14" i="3"/>
  <c r="R14" i="3" s="1"/>
  <c r="K16" i="3"/>
  <c r="Q16" i="3" s="1"/>
  <c r="L10" i="3"/>
  <c r="N7" i="3"/>
  <c r="Q8" i="3" s="1"/>
  <c r="P7" i="3"/>
  <c r="P8" i="3"/>
  <c r="S8" i="3" s="1"/>
  <c r="O7" i="3"/>
  <c r="O8" i="3"/>
  <c r="R8" i="3" s="1"/>
  <c r="K7" i="3"/>
  <c r="Q7" i="3" s="1"/>
  <c r="M7" i="3"/>
  <c r="L8" i="3"/>
  <c r="R7" i="3" s="1"/>
  <c r="V7" i="3"/>
  <c r="L7" i="3"/>
  <c r="O16" i="3"/>
  <c r="O13" i="3"/>
  <c r="L16" i="3"/>
  <c r="V16" i="3" s="1"/>
  <c r="M17" i="3"/>
  <c r="S16" i="3" s="1"/>
  <c r="L13" i="3"/>
  <c r="P11" i="3"/>
  <c r="S11" i="3" s="1"/>
  <c r="K10" i="3"/>
  <c r="Q10" i="3" s="1"/>
  <c r="M10" i="3"/>
  <c r="O10" i="3"/>
  <c r="L11" i="3"/>
  <c r="R10" i="3" s="1"/>
  <c r="O11" i="3"/>
  <c r="R11" i="3" s="1"/>
  <c r="N10" i="3"/>
  <c r="Q11" i="3" s="1"/>
  <c r="N4" i="3"/>
  <c r="Q5" i="3" s="1"/>
  <c r="P4" i="3"/>
  <c r="P5" i="3"/>
  <c r="S5" i="3" s="1"/>
  <c r="O4" i="3"/>
  <c r="O5" i="3"/>
  <c r="R5" i="3" s="1"/>
  <c r="K4" i="3"/>
  <c r="Q4" i="3" s="1"/>
  <c r="M4" i="3"/>
  <c r="L5" i="3"/>
  <c r="R4" i="3" s="1"/>
  <c r="L4" i="3"/>
  <c r="N1" i="3"/>
  <c r="Q2" i="3" s="1"/>
  <c r="P1" i="3"/>
  <c r="P2" i="3"/>
  <c r="S2" i="3" s="1"/>
  <c r="O1" i="3"/>
  <c r="O2" i="3"/>
  <c r="R2" i="3" s="1"/>
  <c r="M1" i="3"/>
  <c r="M2" i="3"/>
  <c r="V4" i="3" l="1"/>
  <c r="U16" i="3"/>
  <c r="T7" i="3"/>
  <c r="T17" i="3"/>
  <c r="T10" i="3"/>
  <c r="T13" i="3"/>
  <c r="T5" i="3"/>
  <c r="T4" i="3"/>
  <c r="T8" i="3"/>
  <c r="T11" i="3"/>
  <c r="T14" i="3"/>
  <c r="T2" i="3"/>
  <c r="U13" i="3"/>
  <c r="V13" i="3"/>
  <c r="T16" i="3"/>
  <c r="U10" i="3"/>
  <c r="U7" i="3"/>
  <c r="V10" i="3"/>
  <c r="U4" i="3"/>
  <c r="W16" i="3" l="1"/>
  <c r="G44" i="1" s="1"/>
  <c r="W13" i="3"/>
  <c r="G43" i="1" s="1"/>
  <c r="W7" i="3"/>
  <c r="G41" i="1" s="1"/>
  <c r="W10" i="3"/>
  <c r="G42" i="1" s="1"/>
  <c r="W4" i="3"/>
  <c r="C39" i="1" s="1"/>
  <c r="C35" i="11"/>
  <c r="C42" i="11"/>
  <c r="C31" i="11"/>
  <c r="C56" i="11"/>
  <c r="C49" i="11"/>
  <c r="F42" i="11" l="1"/>
  <c r="F35" i="11"/>
  <c r="F49" i="11"/>
  <c r="F31" i="11"/>
  <c r="F56" i="11"/>
  <c r="Q38" i="1"/>
  <c r="Q37" i="1"/>
  <c r="R38" i="1"/>
  <c r="J5" i="11" l="1"/>
  <c r="L5" i="11" s="1"/>
  <c r="F79" i="1"/>
  <c r="C85" i="11"/>
  <c r="F85" i="11" l="1"/>
  <c r="J8" i="11" s="1"/>
  <c r="H74" i="1"/>
  <c r="L8" i="11" l="1"/>
  <c r="R71" i="1"/>
  <c r="R73" i="1"/>
  <c r="K74" i="1" l="1"/>
  <c r="I77" i="1" s="1"/>
  <c r="E6" i="1" l="1"/>
  <c r="D6" i="1"/>
  <c r="L1" i="3"/>
  <c r="K1" i="3"/>
  <c r="Q1" i="3" s="1"/>
  <c r="S1" i="3"/>
  <c r="U1" i="3"/>
  <c r="I79" i="1" l="1"/>
  <c r="V1" i="3"/>
  <c r="T1" i="3" l="1"/>
  <c r="W1" i="3" s="1"/>
  <c r="C35" i="1" s="1"/>
  <c r="C30" i="11"/>
  <c r="F30" i="11" l="1"/>
  <c r="J4" i="11" s="1"/>
  <c r="L4" i="11" l="1"/>
  <c r="L1" i="11" s="1"/>
  <c r="J13" i="11"/>
  <c r="J7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FARCAS Dan</author>
  </authors>
  <commentList>
    <comment ref="B21" authorId="0" shapeId="0" xr:uid="{00000000-0006-0000-0000-000001000000}">
      <text>
        <r>
          <rPr>
            <sz val="12"/>
            <color indexed="81"/>
            <rFont val="Tahoma"/>
            <family val="2"/>
          </rPr>
          <t>Interventia este finalizata dupa confirmare din partea tuturor clientilor</t>
        </r>
      </text>
    </comment>
  </commentList>
</comments>
</file>

<file path=xl/sharedStrings.xml><?xml version="1.0" encoding="utf-8"?>
<sst xmlns="http://schemas.openxmlformats.org/spreadsheetml/2006/main" count="927" uniqueCount="655">
  <si>
    <t>Cod site A :</t>
  </si>
  <si>
    <t>Cod site B :</t>
  </si>
  <si>
    <t>NU</t>
  </si>
  <si>
    <t>DA</t>
  </si>
  <si>
    <t>Capacitate cablu :</t>
  </si>
  <si>
    <t>fibre</t>
  </si>
  <si>
    <t>CONTRACTOR executant:</t>
  </si>
  <si>
    <r>
      <rPr>
        <b/>
        <i/>
        <sz val="12"/>
        <rFont val="Arial"/>
        <family val="2"/>
      </rPr>
      <t>La plecare</t>
    </r>
    <r>
      <rPr>
        <i/>
        <sz val="12"/>
        <rFont val="Arial"/>
        <family val="2"/>
      </rPr>
      <t xml:space="preserve">, din perimetrul site </t>
    </r>
    <r>
      <rPr>
        <b/>
        <i/>
        <u/>
        <sz val="12"/>
        <rFont val="Arial"/>
        <family val="2"/>
      </rPr>
      <t>AU FOST COLECTATE DESEURILE</t>
    </r>
    <r>
      <rPr>
        <i/>
        <sz val="12"/>
        <rFont val="Arial"/>
        <family val="2"/>
      </rPr>
      <t xml:space="preserve"> rezultate din </t>
    </r>
    <r>
      <rPr>
        <b/>
        <i/>
        <u/>
        <sz val="12"/>
        <rFont val="Arial"/>
        <family val="2"/>
      </rPr>
      <t>mentenanta curenta</t>
    </r>
  </si>
  <si>
    <t>Verificare finala QAF:</t>
  </si>
  <si>
    <t>Zi</t>
  </si>
  <si>
    <t>Luna</t>
  </si>
  <si>
    <t>An</t>
  </si>
  <si>
    <t>Tip traseu:</t>
  </si>
  <si>
    <t xml:space="preserve">Denumirea tronsonului FO : </t>
  </si>
  <si>
    <t xml:space="preserve">Topologie tronson : </t>
  </si>
  <si>
    <t xml:space="preserve">Tip interventie : </t>
  </si>
  <si>
    <t xml:space="preserve">Numar ticket : </t>
  </si>
  <si>
    <t>Data solicitare interventie :</t>
  </si>
  <si>
    <t>Data finalizare interventie :</t>
  </si>
  <si>
    <t>Informatii interventie :</t>
  </si>
  <si>
    <t>Informatii sectiune :</t>
  </si>
  <si>
    <t>Cauza incident :</t>
  </si>
  <si>
    <t>Descriere incident :</t>
  </si>
  <si>
    <t>Materiale :</t>
  </si>
  <si>
    <t>Observatii / propuneri :</t>
  </si>
  <si>
    <t xml:space="preserve">Protectia Mediului : </t>
  </si>
  <si>
    <t xml:space="preserve">Data validarii </t>
  </si>
  <si>
    <t>FO Local</t>
  </si>
  <si>
    <t>Mixt</t>
  </si>
  <si>
    <t>Defect-Defect cablu/cutie jonctiune, etc,…</t>
  </si>
  <si>
    <t>Lucrari infrastructura-Lucrari efectuate de companiile nationale</t>
  </si>
  <si>
    <t>Primarie-Decizii primarie de a taia cablul</t>
  </si>
  <si>
    <t>Vandalism-Furt</t>
  </si>
  <si>
    <t>FO BB</t>
  </si>
  <si>
    <t>Aerian</t>
  </si>
  <si>
    <t>Subteran</t>
  </si>
  <si>
    <t>VHBB</t>
  </si>
  <si>
    <t>Ora</t>
  </si>
  <si>
    <r>
      <rPr>
        <b/>
        <i/>
        <u/>
        <sz val="12"/>
        <rFont val="Arial"/>
        <family val="2"/>
      </rPr>
      <t>La accesarea site-ului</t>
    </r>
    <r>
      <rPr>
        <i/>
        <sz val="12"/>
        <rFont val="Arial"/>
        <family val="2"/>
      </rPr>
      <t xml:space="preserve">, in perimetrul site-ului/locul incidentului
</t>
    </r>
    <r>
      <rPr>
        <b/>
        <i/>
        <u/>
        <sz val="12"/>
        <rFont val="Arial"/>
        <family val="2"/>
      </rPr>
      <t>AU EXISTAT deseuri</t>
    </r>
    <r>
      <rPr>
        <i/>
        <sz val="12"/>
        <rFont val="Arial"/>
        <family val="2"/>
      </rPr>
      <t xml:space="preserve"> rezultate din alte procese (cutii, resturi de cabluri, materiale din alte instalari)</t>
    </r>
  </si>
  <si>
    <t>Tip jonctiune</t>
  </si>
  <si>
    <t>aeriana</t>
  </si>
  <si>
    <t>subterana</t>
  </si>
  <si>
    <t>local</t>
  </si>
  <si>
    <t>remote</t>
  </si>
  <si>
    <t xml:space="preserve">Site/locatie masuratoare : </t>
  </si>
  <si>
    <t xml:space="preserve">Distanta fault/atenuare fata de locul masuratorii : </t>
  </si>
  <si>
    <t>Descriere remediere :</t>
  </si>
  <si>
    <t>Rezerva</t>
  </si>
  <si>
    <t>Executat FOTO 
deseuri existente</t>
  </si>
  <si>
    <t>LAT</t>
  </si>
  <si>
    <t>LONG</t>
  </si>
  <si>
    <t>grade</t>
  </si>
  <si>
    <t>minute</t>
  </si>
  <si>
    <t>secunde</t>
  </si>
  <si>
    <t xml:space="preserve">Link catre Google Maps : </t>
  </si>
  <si>
    <t xml:space="preserve">Coordonate incident1 : </t>
  </si>
  <si>
    <t xml:space="preserve">Coordonate incident2 : </t>
  </si>
  <si>
    <t>LEGENDA</t>
  </si>
  <si>
    <t>EVR</t>
  </si>
  <si>
    <t>Major 8h</t>
  </si>
  <si>
    <t>Minor 12h</t>
  </si>
  <si>
    <t>Critic 4h</t>
  </si>
  <si>
    <t>km</t>
  </si>
  <si>
    <t>Coordonate camereta C1 :</t>
  </si>
  <si>
    <t>Coordonate camereta C2 :</t>
  </si>
  <si>
    <t>SLA</t>
  </si>
  <si>
    <t>Judet</t>
  </si>
  <si>
    <t>Y10</t>
  </si>
  <si>
    <t>Y8</t>
  </si>
  <si>
    <t>Y6</t>
  </si>
  <si>
    <t>minor</t>
  </si>
  <si>
    <t>Mediu</t>
  </si>
  <si>
    <t>Major</t>
  </si>
  <si>
    <t>PBM</t>
  </si>
  <si>
    <t>Alba</t>
  </si>
  <si>
    <t>Arad</t>
  </si>
  <si>
    <t>Arges</t>
  </si>
  <si>
    <t>Bacau</t>
  </si>
  <si>
    <t>Bihor</t>
  </si>
  <si>
    <t>Bistrita-Nasaud</t>
  </si>
  <si>
    <t>Botosani</t>
  </si>
  <si>
    <t>Braila</t>
  </si>
  <si>
    <t>Brasov</t>
  </si>
  <si>
    <t>Bucuresti</t>
  </si>
  <si>
    <t>Buzau</t>
  </si>
  <si>
    <t>Calarasi</t>
  </si>
  <si>
    <t>Caras-Severin</t>
  </si>
  <si>
    <t>Cluj</t>
  </si>
  <si>
    <t>Constanta</t>
  </si>
  <si>
    <t>Covasna</t>
  </si>
  <si>
    <t>Dambovita</t>
  </si>
  <si>
    <t>Dolj</t>
  </si>
  <si>
    <t>Galati</t>
  </si>
  <si>
    <t>Giurgiu</t>
  </si>
  <si>
    <t>Gorj</t>
  </si>
  <si>
    <t>Harghita</t>
  </si>
  <si>
    <t>Hunedoara</t>
  </si>
  <si>
    <t>Ialomita</t>
  </si>
  <si>
    <t>Iasi</t>
  </si>
  <si>
    <t>Ilfov</t>
  </si>
  <si>
    <t>Maramures</t>
  </si>
  <si>
    <t>Mehedinti</t>
  </si>
  <si>
    <t>Mures</t>
  </si>
  <si>
    <t>Neamt</t>
  </si>
  <si>
    <t>Olt</t>
  </si>
  <si>
    <t>Prahova</t>
  </si>
  <si>
    <t>Salaj</t>
  </si>
  <si>
    <t>Satu Mare</t>
  </si>
  <si>
    <t>Sibiu</t>
  </si>
  <si>
    <t>Suceava</t>
  </si>
  <si>
    <t>Teleorman</t>
  </si>
  <si>
    <t>Timis</t>
  </si>
  <si>
    <t>Tulcea</t>
  </si>
  <si>
    <t>Valcea</t>
  </si>
  <si>
    <t>Vaslui</t>
  </si>
  <si>
    <t>Vrancea</t>
  </si>
  <si>
    <t>copy/paste</t>
  </si>
  <si>
    <t>Mas. 1</t>
  </si>
  <si>
    <t>Mas. 2</t>
  </si>
  <si>
    <t>Masuratori fibre libere dupa remediere finala :</t>
  </si>
  <si>
    <t>Site A</t>
  </si>
  <si>
    <t>ODF</t>
  </si>
  <si>
    <t>catre site B</t>
  </si>
  <si>
    <t>Fibre masurate</t>
  </si>
  <si>
    <t>Fisiere</t>
  </si>
  <si>
    <t>Km</t>
  </si>
  <si>
    <t>pcs</t>
  </si>
  <si>
    <t>Cable signalling belt (warning tape - 20 cm. Broad)</t>
  </si>
  <si>
    <t>Electronic ball markers re-writable (range 1.2 m) orange</t>
  </si>
  <si>
    <t>Wooden poles (for telecommunications)</t>
  </si>
  <si>
    <t>Cable/duct restoration kit</t>
  </si>
  <si>
    <t>Cable hook</t>
  </si>
  <si>
    <t>Conduit seal</t>
  </si>
  <si>
    <t>Protection pipe for cable (slotted flex tubing) - coflex</t>
  </si>
  <si>
    <t>SM Pig tail of 1 m. with E2000/APC connectors</t>
  </si>
  <si>
    <t>SM Pig tail of 1 m. with LC/UPC connectors</t>
  </si>
  <si>
    <t>HDPE pipe 40 mm. plugs (open) - material</t>
  </si>
  <si>
    <t>HDPE pipe 40 mm. plugs (closed) - material</t>
  </si>
  <si>
    <t>HDPE connector - Diam. 40 mm.- material</t>
  </si>
  <si>
    <t>Patch cord organizer for ODF -material</t>
  </si>
  <si>
    <t>Electronic ball markers  (range 1.2 m.) orange - material</t>
  </si>
  <si>
    <t>Rubber band-3M  - material</t>
  </si>
  <si>
    <t>SM patch-cord of 1 m. with LC/UPC connectors</t>
  </si>
  <si>
    <t>SM patch-cord of 1 m. with E2000/APC connectors</t>
  </si>
  <si>
    <t>SM patch-cord of 2 m. with LC/UPC connectors</t>
  </si>
  <si>
    <t>SM patch-cord of 2 m. with E2000/APC connectors</t>
  </si>
  <si>
    <t>micro-duct 8/10mm - material</t>
  </si>
  <si>
    <t>Mounting kit for jointing closure - material</t>
  </si>
  <si>
    <t>Monting kit for cable on pole/wall - material</t>
  </si>
  <si>
    <t>Pole anchor - material</t>
  </si>
  <si>
    <t>U' cable protection - material</t>
  </si>
  <si>
    <t xml:space="preserve">Fiberglass Handhole - material </t>
  </si>
  <si>
    <t>Iron top of manhole one layer - material</t>
  </si>
  <si>
    <t>Lubrication for cable ducts - material</t>
  </si>
  <si>
    <t>Asphalt -material</t>
  </si>
  <si>
    <t>Continuous Follow Up Infra Optical Fiber</t>
  </si>
  <si>
    <t>FO</t>
  </si>
  <si>
    <t>per km</t>
  </si>
  <si>
    <t>Adv. Corrective Maint.(FO)</t>
  </si>
  <si>
    <t>SP1 FO</t>
  </si>
  <si>
    <t>intervention</t>
  </si>
  <si>
    <t>SP2 FOA</t>
  </si>
  <si>
    <t>SP3 FOA</t>
  </si>
  <si>
    <t>SP5 FOU</t>
  </si>
  <si>
    <t>Forare orizontala dirijata (servicii complete, transport, consumabile) ; Guided horizontal drilling (full services + transport);  incl. transport, consumables</t>
  </si>
  <si>
    <t>m</t>
  </si>
  <si>
    <t>Forare orizontala nedirijata (servicii complete, transport, consumabile); Unguided horizontal drilling (full services + transport);  incl. transport, consumables</t>
  </si>
  <si>
    <t>Inlocuire stalp de lemn/compozit incl preluarea stalpului existent (servicii complete, transport, consumabile); Replacement of wooden / composite pole incl. removal of existing pole (full services + transport);  incl. transport, consumables</t>
  </si>
  <si>
    <t>Instalare stalp (metalic sau de beton)  in fundatie turnata (servicii complete, transport, consumabile); Pole installation (metal or concrete) in cast foundation (complete services;  transport, consumables)</t>
  </si>
  <si>
    <t>Instalare stalp de lemn/compozit/montare adaos de lemn(servicii complete, transport, consumabile); Installation of wooden pole / composite / additional wood mouning (complete services;  transport, consumables)</t>
  </si>
  <si>
    <t>Demontare stalp lemn (servicii complete, transport, consumabile); Wooden pole dismantling (complete services;  transport, consumables)</t>
  </si>
  <si>
    <t>Demontare stalp metalic sau de beton, inclusiv demolare soclu,  (complete services;  transport, consumables); Metal or concrete pole dismantling, including foundation removal, (complete services;  transport, consumables)</t>
  </si>
  <si>
    <t>Sant pentru instalare tevi direct in pamant (servicii complete, transport, consumabile); Ditch for installing pipes underground (complete services;  transport, consumables)</t>
  </si>
  <si>
    <t>Sapatura in stanca cu ciocan pneumatic si unelte de mana (servicii complete, transport, consumabile); Rock digging with a pneumatic hammer and hand tools (complete services;  transport, consumables)</t>
  </si>
  <si>
    <t>m3</t>
  </si>
  <si>
    <t>Spargere beton (servicii complete, transport, consumabile); Concrete breakage (complete services;  transport, consumables)</t>
  </si>
  <si>
    <t>Refacere trecere aeriana tip A.P. cu o teava OL (manopera) (servicii complete, transport, consumabile); Restoration of aerian crossing  A.P. type  with 1 OL pipe (labor) (complete services;  transport, consumables)</t>
  </si>
  <si>
    <t>Refacere trecere aeriana tip A.P. cu 2 tevi OL (manopera) (servicii complete, transport, consumabile); Restoration of aerian crossing A.P. type with 2 OL pipes (labor) (complete services;  transport, consumables)</t>
  </si>
  <si>
    <t>Refacere imbracaminte asfaltica (manopera)(servicii complete, transport, consumabile); Asphalt coatings (labor) (complete services;  transport, consumables)</t>
  </si>
  <si>
    <t>mp</t>
  </si>
  <si>
    <t>Refaceri pavaje trotuar, alei pietonale (manopera)(servicii complete, transport, consumabile); Restoration of pavements, pedestrian alleys (labor) (complete services;  transport, consumables)</t>
  </si>
  <si>
    <t>No.</t>
  </si>
  <si>
    <t>Item Description</t>
  </si>
  <si>
    <t>Unit</t>
  </si>
  <si>
    <t>Patch 10m E 2000/APC-SC/APC, SM, SX</t>
  </si>
  <si>
    <t>Patch 10m LC/APC-SC/APC, SM, SX</t>
  </si>
  <si>
    <t>Patch 10m LC/PC-SC/APC, SM, SX</t>
  </si>
  <si>
    <t>Patch 10m SC/APC-SC/APC, SM, SX</t>
  </si>
  <si>
    <t>Patch 10m SC/PC-SC/APC, SM, SX, G.657A</t>
  </si>
  <si>
    <t>Patch 15m E 2000/APC-LC/APC, SM, SX</t>
  </si>
  <si>
    <t>Patch 15m E 2000/APC-SC/APC, SM, SX</t>
  </si>
  <si>
    <t>Patch 20m E 2000/APC-LC/APC, SM, SX</t>
  </si>
  <si>
    <t>Patch 20m E 2000/APC-SC/APC, SM, SX</t>
  </si>
  <si>
    <t>Patch 3m E 2000/APC-E 2000/APC, SM, DX</t>
  </si>
  <si>
    <t>Patch 3m E 2000/APC-E 2000/APC, SM, SX</t>
  </si>
  <si>
    <t>Patch 3m E 2000-SC SM, DX</t>
  </si>
  <si>
    <t>Patch 3m E 2000-SC SM, SX</t>
  </si>
  <si>
    <t>Patch 3m SC/APC, SM, SX</t>
  </si>
  <si>
    <t>Patch 3m SC/APC-SC/PC, SM, SX</t>
  </si>
  <si>
    <t>Patch 5m LC/APC-SC/APC, SM, SX</t>
  </si>
  <si>
    <t>Patch 5m SC/APC, SM, SX</t>
  </si>
  <si>
    <t>SM Pig tail of 1 m. with FC/APC connectors</t>
  </si>
  <si>
    <t>SM Pig tail of 1 m. with FC/UPC connectors</t>
  </si>
  <si>
    <t>SM Pig tail of 1 m. with LC/APC connectors</t>
  </si>
  <si>
    <t>SM Pig tail of 1 m. with SC/APC connectors</t>
  </si>
  <si>
    <t>SM Pig tail of 1 m. with SC/UPC connectors</t>
  </si>
  <si>
    <t>HDPE pipe PN10 110 mm</t>
  </si>
  <si>
    <t>HDPE pipe PN10 63 mm</t>
  </si>
  <si>
    <t>HDPE pipe  PN10i 75 mm</t>
  </si>
  <si>
    <t>HDPE pipe PN10 90 mm</t>
  </si>
  <si>
    <t>HDPE pipe PN16 110 mm</t>
  </si>
  <si>
    <t>HDPE pipe PN16 90 mm</t>
  </si>
  <si>
    <t>HDPE pipe PN10 40 mm. local market - material</t>
  </si>
  <si>
    <t>HDPE pipe PN10 40 mm(OD/ID 40mm/33mm) Duraline/Rehau</t>
  </si>
  <si>
    <t xml:space="preserve">PVC pipe Tupe G 110X8,2  </t>
  </si>
  <si>
    <t>PVC pipe Type G 90X6,7</t>
  </si>
  <si>
    <t>PVC pipe Type M2 110X 5,3</t>
  </si>
  <si>
    <t>PVC pipe Type M2 90X 4,3</t>
  </si>
  <si>
    <t>PVC pipe Type M2 75X3,6</t>
  </si>
  <si>
    <t>PVC pipe Type M2 63X3</t>
  </si>
  <si>
    <t>kg</t>
  </si>
  <si>
    <t>Steel pipe 114.3x5 mm - material</t>
  </si>
  <si>
    <t>Steel pipe 139.7x5mm - material</t>
  </si>
  <si>
    <t>ancoraj la stalp</t>
  </si>
  <si>
    <t>Ancoraj la stal p cu brat</t>
  </si>
  <si>
    <t>Ancoraj la zid</t>
  </si>
  <si>
    <t>Beton ciment B100 STAS 3622</t>
  </si>
  <si>
    <t>Beton ciment B250 STAS 3622</t>
  </si>
  <si>
    <t>Strat agregat (balast)</t>
  </si>
  <si>
    <t>Strat agregat (nisip)</t>
  </si>
  <si>
    <t>Camereta de tragere pentru racord</t>
  </si>
  <si>
    <t>Camereta cu capac</t>
  </si>
  <si>
    <t>Camera de tragere tip Mare (A, J, T, L)</t>
  </si>
  <si>
    <t>Camera de tragere tip Mica (X, Y)</t>
  </si>
  <si>
    <t>Camera de tragere tip Mijlocie (B)</t>
  </si>
  <si>
    <t>Camereta prefabricata din beton</t>
  </si>
  <si>
    <t>Iron top of manhole double layer - material</t>
  </si>
  <si>
    <t>Canal cablu 100x40MM</t>
  </si>
  <si>
    <t>Canal cablu 25x15MM</t>
  </si>
  <si>
    <t>Canal cablu 40x20MM</t>
  </si>
  <si>
    <t>Canal cabluU 60x40MM</t>
  </si>
  <si>
    <t>Confectie metalica pentru instalatii de telecomunicatii</t>
  </si>
  <si>
    <t>Labels for FO identification - interior</t>
  </si>
  <si>
    <t>Labels for FO identification UV resistant - exterior</t>
  </si>
  <si>
    <t>Quantity</t>
  </si>
  <si>
    <t>Urmarirea in timp a constructiei:</t>
  </si>
  <si>
    <t>Ok</t>
  </si>
  <si>
    <t>NOK</t>
  </si>
  <si>
    <t>NA</t>
  </si>
  <si>
    <t>Ticket ID</t>
  </si>
  <si>
    <t>Verificarea tasarilor si a decopertarilor accidentale, pe amplasamentul retelei F.O. subterane (vizual)</t>
  </si>
  <si>
    <t>Verificarea sistemelor de prindere / ancorare, a rezervelor si a cutiilor de jonctiune (vizual)</t>
  </si>
  <si>
    <t>Verificarea sagetii cablului in aliniamentul traseului si la traversari (vizual)</t>
  </si>
  <si>
    <t>Alte observatii</t>
  </si>
  <si>
    <t>Reprezentant Prestator
Nume si Prenume, semnatura</t>
  </si>
  <si>
    <t>Mapata
 in NICM</t>
  </si>
  <si>
    <t>FADI|FT|K0D1E0 24(4x6) G657A2</t>
  </si>
  <si>
    <t>FADI|FT|K0D1E0|48(4x12) G657A2</t>
  </si>
  <si>
    <t>FADI|FT|K0D1E0|12(2x6) G657A2</t>
  </si>
  <si>
    <t>SC/APC 10DB</t>
  </si>
  <si>
    <t>Atenuator SC/APC 10DB</t>
  </si>
  <si>
    <t>SC/APC 2DB</t>
  </si>
  <si>
    <t>Atenuator SC/APC 2DB</t>
  </si>
  <si>
    <t>SC/APC 4DB</t>
  </si>
  <si>
    <t>Atenuator SC/APC 4DB</t>
  </si>
  <si>
    <t>SC/APC 6DB</t>
  </si>
  <si>
    <t>Atenuator SC/APC 6DB</t>
  </si>
  <si>
    <t>XSPSC00472</t>
  </si>
  <si>
    <t>1x4 PLC Bare Fibers 4x4x40</t>
  </si>
  <si>
    <t>XSPSC00473</t>
  </si>
  <si>
    <t>XSPSC00478</t>
  </si>
  <si>
    <t>Compact-PLC-1X8-00SCA-A2-PG</t>
  </si>
  <si>
    <t>XSPSC00764</t>
  </si>
  <si>
    <t>1:2 Splitter</t>
  </si>
  <si>
    <t>ODB - with 8 duplex mating adaptors+Splitter 1:8</t>
  </si>
  <si>
    <t>FAUA|FT|K0D1E0 96 (8x12) G.657A2</t>
  </si>
  <si>
    <t>FAUA|K0D1E0 144 (12x12) G.657A2</t>
  </si>
  <si>
    <t>XKTSC00050</t>
  </si>
  <si>
    <t>SPLICE PROTECTOR - 2.2mm x 45 (PACK 12)</t>
  </si>
  <si>
    <t>XSRSC00682</t>
  </si>
  <si>
    <t>SRS4000 -  1U S+P 48F A2 SCA DX ETSI SP</t>
  </si>
  <si>
    <t>XSPSG00002</t>
  </si>
  <si>
    <t>1x4 PLC case size 4x4x40 mm</t>
  </si>
  <si>
    <t>XSRSC00747</t>
  </si>
  <si>
    <t>48 ports SC/APC ODFs - pigtails</t>
  </si>
  <si>
    <t>Link google jonctiuni</t>
  </si>
  <si>
    <t>On Site FO Measurements for FO Incident Diagnose</t>
  </si>
  <si>
    <r>
      <rPr>
        <b/>
        <sz val="11"/>
        <color theme="1"/>
        <rFont val="Calibri"/>
        <family val="2"/>
        <scheme val="minor"/>
      </rPr>
      <t>On site measurements:</t>
    </r>
    <r>
      <rPr>
        <sz val="11"/>
        <color theme="1"/>
        <rFont val="Calibri"/>
        <family val="2"/>
        <scheme val="minor"/>
      </rPr>
      <t xml:space="preserve"> local measurement required in order to identify the location of the event; performed only when remote measurements are not available</t>
    </r>
  </si>
  <si>
    <t>Denumire NICM jonctiune J1:</t>
  </si>
  <si>
    <t>Coordonate jonctiune J1:</t>
  </si>
  <si>
    <t>Coordonate jonctiune J2:</t>
  </si>
  <si>
    <t>Coordonate jonctiune J3:</t>
  </si>
  <si>
    <t>Coordonate jonctiune J4:</t>
  </si>
  <si>
    <t>Denumire NICM jonctiune J2:</t>
  </si>
  <si>
    <t>Denumire NICM jonctiune J3:</t>
  </si>
  <si>
    <t>Denumire NICM jonctiune J4:</t>
  </si>
  <si>
    <t>Denumire in NICM</t>
  </si>
  <si>
    <t>Coordonate camereta C3 :</t>
  </si>
  <si>
    <t>Coordonate camereta C4 :</t>
  </si>
  <si>
    <t>Item code</t>
  </si>
  <si>
    <t>Item description</t>
  </si>
  <si>
    <t>Alte_observatii</t>
  </si>
  <si>
    <t>cable_cap</t>
  </si>
  <si>
    <t>Cam1_mapata_NICM</t>
  </si>
  <si>
    <t>Cam2_mapata_NICM</t>
  </si>
  <si>
    <t>Cam3_mapata_NICM</t>
  </si>
  <si>
    <t>Cam4_mapata_NICM</t>
  </si>
  <si>
    <t>Cauza</t>
  </si>
  <si>
    <t>data_finalizare_optic</t>
  </si>
  <si>
    <t>data_localizare_incident</t>
  </si>
  <si>
    <t>data_solicitare_interv</t>
  </si>
  <si>
    <t>data_sosire_in_zona_incident</t>
  </si>
  <si>
    <t>Descriere_incident</t>
  </si>
  <si>
    <t>Descriere_remediere</t>
  </si>
  <si>
    <t>distanta_fault1</t>
  </si>
  <si>
    <t>distanta_fault2</t>
  </si>
  <si>
    <t>execute_contractor</t>
  </si>
  <si>
    <t>fisiere_atasate</t>
  </si>
  <si>
    <t>J1_mapata_NICM</t>
  </si>
  <si>
    <t>J1_to_A</t>
  </si>
  <si>
    <t>J1_to_B</t>
  </si>
  <si>
    <t>J2_mapata_NICM</t>
  </si>
  <si>
    <t>J2_to_A</t>
  </si>
  <si>
    <t>J2_to_B</t>
  </si>
  <si>
    <t>J3_mapata_NICM</t>
  </si>
  <si>
    <t>J3_to_A</t>
  </si>
  <si>
    <t>J3_to_B</t>
  </si>
  <si>
    <t>J4_mapata_NICM</t>
  </si>
  <si>
    <t>J4_to_A</t>
  </si>
  <si>
    <t>J4_to_B</t>
  </si>
  <si>
    <t>link_C1</t>
  </si>
  <si>
    <t>link_C2</t>
  </si>
  <si>
    <t>link_C3</t>
  </si>
  <si>
    <t>link_C4</t>
  </si>
  <si>
    <t>link_incident1</t>
  </si>
  <si>
    <t>link_incident2</t>
  </si>
  <si>
    <t>link_J1</t>
  </si>
  <si>
    <t>link_J2</t>
  </si>
  <si>
    <t>link_J3</t>
  </si>
  <si>
    <t>link_J4</t>
  </si>
  <si>
    <t>locatie_masuratoare1</t>
  </si>
  <si>
    <t>locatie_masuratoare2</t>
  </si>
  <si>
    <t>masuratori_finale_fo_masurate</t>
  </si>
  <si>
    <t>masuratori_finale_ODF</t>
  </si>
  <si>
    <t>masuratori_finale_siteA</t>
  </si>
  <si>
    <t>masuratori_finale_toSiteB</t>
  </si>
  <si>
    <t>nume_c1_noua</t>
  </si>
  <si>
    <t>nume_c2_noua</t>
  </si>
  <si>
    <t>nume_c3_noua</t>
  </si>
  <si>
    <t>nume_c4_noua</t>
  </si>
  <si>
    <t>nume_j1_noua</t>
  </si>
  <si>
    <t>nume_j2_noua</t>
  </si>
  <si>
    <t>nume_j3_noua</t>
  </si>
  <si>
    <t>nume_j4_noua</t>
  </si>
  <si>
    <t>Nume_tronson</t>
  </si>
  <si>
    <t>Obs</t>
  </si>
  <si>
    <t>ora_finalizare_optic</t>
  </si>
  <si>
    <t>ora_localizare_incident</t>
  </si>
  <si>
    <t>ora_solicitare_interv</t>
  </si>
  <si>
    <t>ora_sosire_in_zona_incident</t>
  </si>
  <si>
    <t>Plecare</t>
  </si>
  <si>
    <t>Proposals</t>
  </si>
  <si>
    <t>qaf_code</t>
  </si>
  <si>
    <t>rezerva_J1_to_A</t>
  </si>
  <si>
    <t>rezerva_J1_to_B</t>
  </si>
  <si>
    <t>rezerva_J2_to_A</t>
  </si>
  <si>
    <t>rezerva_J2_to_B</t>
  </si>
  <si>
    <t>rezerva_J3_to_A</t>
  </si>
  <si>
    <t>rezerva_J3_to_B</t>
  </si>
  <si>
    <t>rezerva_J4_to_A</t>
  </si>
  <si>
    <t>rezerva_J4_to_B</t>
  </si>
  <si>
    <t>site_code_A</t>
  </si>
  <si>
    <t>site_code_B</t>
  </si>
  <si>
    <t>Tip</t>
  </si>
  <si>
    <t>Tip_interv</t>
  </si>
  <si>
    <t>tip_j1</t>
  </si>
  <si>
    <t>tip_j2</t>
  </si>
  <si>
    <t>tip_j3</t>
  </si>
  <si>
    <t>tip_j4</t>
  </si>
  <si>
    <t>topologie_tronson</t>
  </si>
  <si>
    <t>validate_date</t>
  </si>
  <si>
    <t>validate_name</t>
  </si>
  <si>
    <t>Verificarea rezistentei (lovituri, fisuri) verticalitatii si stabilitatii stalpilor (vizual)</t>
  </si>
  <si>
    <t>Data sosire ST in zona :</t>
  </si>
  <si>
    <t>Data localizare incident :</t>
  </si>
  <si>
    <r>
      <t xml:space="preserve">Localitatea de plecare </t>
    </r>
    <r>
      <rPr>
        <b/>
        <i/>
        <sz val="16"/>
        <color theme="1"/>
        <rFont val="Arial"/>
        <family val="2"/>
      </rPr>
      <t>echipa</t>
    </r>
    <r>
      <rPr>
        <i/>
        <sz val="16"/>
        <color theme="1"/>
        <rFont val="Arial"/>
        <family val="2"/>
      </rPr>
      <t xml:space="preserve"> : </t>
    </r>
  </si>
  <si>
    <t>incident1</t>
  </si>
  <si>
    <t>incident2</t>
  </si>
  <si>
    <t>jonctiune 1</t>
  </si>
  <si>
    <t>jonctiune 2</t>
  </si>
  <si>
    <t>jonctiune 3</t>
  </si>
  <si>
    <t>jonctiune 4</t>
  </si>
  <si>
    <t>camereta 1</t>
  </si>
  <si>
    <t>camereta 2</t>
  </si>
  <si>
    <t>camereta 3</t>
  </si>
  <si>
    <t>camereta 4</t>
  </si>
  <si>
    <r>
      <t>spre site</t>
    </r>
    <r>
      <rPr>
        <b/>
        <sz val="10"/>
        <color indexed="8"/>
        <rFont val="Arial"/>
        <family val="2"/>
      </rPr>
      <t>A</t>
    </r>
  </si>
  <si>
    <r>
      <t>spre site</t>
    </r>
    <r>
      <rPr>
        <b/>
        <sz val="10"/>
        <color indexed="8"/>
        <rFont val="Arial"/>
        <family val="2"/>
      </rPr>
      <t>B</t>
    </r>
  </si>
  <si>
    <t>FADS|LT|K0E0|12 2(6 G652D)-TC08382</t>
  </si>
  <si>
    <t>FADS|LT|K0E0|24 4(6 G652D)-TC08382</t>
  </si>
  <si>
    <t>T0PL0119RO</t>
  </si>
  <si>
    <t>POLE 8M R1 GRAY DT 160 DB 310</t>
  </si>
  <si>
    <t>T0PL0138RO</t>
  </si>
  <si>
    <t>POLE 7M L GRAY DT 160MM DB 230</t>
  </si>
  <si>
    <r>
      <rPr>
        <b/>
        <sz val="11"/>
        <rFont val="Calibri"/>
        <family val="2"/>
        <scheme val="minor"/>
      </rPr>
      <t>Optical fiber infrastructure professional assessment and reporting services following QAF</t>
    </r>
    <r>
      <rPr>
        <sz val="11"/>
        <rFont val="Calibri"/>
        <family val="2"/>
        <scheme val="minor"/>
      </rPr>
      <t>. Service and transport to be condiered together with Preventive Maint Item and any of the Corrective Maintenance Corrective items (SP1 FOA to SP7 FOU). Scope is covering 20% yearly of Aerial park, visual inspection performed during the Preventive Maint and/or Corrective maintenance intervention and for the Underground park, visual inspection performed during the Preventive and/or Corrective maintenance intervention 1k (on the left/right from the intervention point),  as per SoW &amp; Technical Specifications</t>
    </r>
  </si>
  <si>
    <r>
      <rPr>
        <b/>
        <sz val="11"/>
        <rFont val="Calibri"/>
        <family val="2"/>
        <scheme val="minor"/>
      </rPr>
      <t>Complete services On-site repairs only (ODF, patch)</t>
    </r>
    <r>
      <rPr>
        <sz val="11"/>
        <rFont val="Calibri"/>
        <family val="2"/>
        <scheme val="minor"/>
      </rPr>
      <t xml:space="preserve">; all services included, except those considered as Specific Works (listed under); The Specific Works items (10-23) will be used in the BoQ on top of Service Package (1-7) if required.
General requirements applicable to all Service Packages (SP 1 to 7), depending to the infrastructure caracteristics (on site intervention, aerial or underground): fault identification (including required digging), cable installation and preparation, all fibers splicing, closure box - closing, sealing, installation-, handhole installation (including handhole required digging), transport, tests, measurements intervention report, material BoQ, inventory database updates. The other Specific Works will be used in the BoQ seprately if necessary. Only final remediation will be considered for Service Package ticket validation. </t>
    </r>
  </si>
  <si>
    <r>
      <rPr>
        <b/>
        <sz val="11"/>
        <rFont val="Calibri"/>
        <family val="2"/>
        <scheme val="minor"/>
      </rPr>
      <t>Complete services Aerial repairs (no new cable required)</t>
    </r>
    <r>
      <rPr>
        <sz val="11"/>
        <rFont val="Calibri"/>
        <family val="2"/>
        <scheme val="minor"/>
      </rPr>
      <t xml:space="preserve">; all services included, except those considered as Specific Works (listed under); The Specific Works items (10-23) will be used in the BoQ on top of Service Package (1-7) if required.
General requirements applicable to all Service Packages (SP 1 to7), depending to the infrastructure caracteristics (on site intervention, aerial or underground): fault identification (including required digging), cable installation and preparation, all fibers splicing, closure box - closing, sealing, installation-, handhole installation (including handhole required digging), transport, tests, measurements intervention report, material BoQ, inventory database updates. The other Specific Works will be used in the BoQ seprately if necessary. Only final remediation will be considered for Service Package ticket validation. </t>
    </r>
  </si>
  <si>
    <r>
      <rPr>
        <b/>
        <sz val="11"/>
        <rFont val="Calibri"/>
        <family val="2"/>
        <scheme val="minor"/>
      </rPr>
      <t>Complete services Aerial repairs (&lt;200m new cable required)</t>
    </r>
    <r>
      <rPr>
        <sz val="11"/>
        <rFont val="Calibri"/>
        <family val="2"/>
        <scheme val="minor"/>
      </rPr>
      <t xml:space="preserve">; all services included, except those considered as Specific Works (listed under); The Specific Works items (10-23) will be used in the BoQ on top of Service Package (1-7) if required.
General requirements applicable to all Service Packages (SP 1 to 7), depending to the infrastructure caracteristics (on site intervention, aerial or underground): fault identification (including required digging), cable installation and preparation, all fibers splicing, closure box - closing, sealing, installation-, handhole installation (including handhole required digging), transport, tests, measurements intervention report, material BoQ, inventory database updates. The other Specific Works will be used in the BoQ seprately if necessary. Only final remediation will be considered for Service Package ticket validation. </t>
    </r>
  </si>
  <si>
    <t>CR4 FOA</t>
  </si>
  <si>
    <r>
      <rPr>
        <b/>
        <sz val="11"/>
        <rFont val="Calibri"/>
        <family val="2"/>
        <scheme val="minor"/>
      </rPr>
      <t>Complete services Aerial, Capital repairs (&gt;200m new cable required)</t>
    </r>
    <r>
      <rPr>
        <sz val="11"/>
        <rFont val="Calibri"/>
        <family val="2"/>
        <scheme val="minor"/>
      </rPr>
      <t xml:space="preserve">; all services included, except those considered as Specific Works (listed under); The Specific Works items (10-23) will be used in the BoQ on top of Service Package (1-7) if required.
General requirements applicable to all Service Packages (SP 1 to 7), depending to the infrastructure caracteristics (on site intervention, aerial or underground): fault identification (including required digging), cable installation and preparation, all fibers splicing, closure box - closing, sealing, installation-, handhole installation (including handhole required digging), transport, tests, measurements intervention report, material BoQ, inventory database updates. The other Specific Works will be used in the BoQ seprately if necessary. Only final remediation will be considered for Service Package ticket validation. </t>
    </r>
  </si>
  <si>
    <r>
      <rPr>
        <b/>
        <sz val="11"/>
        <rFont val="Calibri"/>
        <family val="2"/>
        <scheme val="minor"/>
      </rPr>
      <t>Complete services Underground repairs (up to max 100m cable required)</t>
    </r>
    <r>
      <rPr>
        <sz val="11"/>
        <rFont val="Calibri"/>
        <family val="2"/>
        <scheme val="minor"/>
      </rPr>
      <t xml:space="preserve">; all services included, except those considered as Specific Works (listed under); The Specific Works items (10-23) will be used in the BoQ on top of Service Package (1-7) if required.
General requirements applicable to all Service Packages (SP 1 to 7), depending to the infrastructure caracteristics (on site intervention, aerial or underground): fault identification (including required digging), cable installation and preparation, all fibers splicing, closure box - closing, sealing, installation-, handhole installation (including handhole required digging), transport, tests, measurements intervention report, material BoQ, inventory database updates. The other Specific Works will be used in the BoQ seprately if necessary. Only final remediation will be considered for Service Package ticket validation. </t>
    </r>
  </si>
  <si>
    <t>CR6 FOU</t>
  </si>
  <si>
    <r>
      <rPr>
        <b/>
        <sz val="11"/>
        <rFont val="Calibri"/>
        <family val="2"/>
        <scheme val="minor"/>
      </rPr>
      <t>Complete services Underground, Capital repairs (100m to 300m new cable required)</t>
    </r>
    <r>
      <rPr>
        <sz val="11"/>
        <rFont val="Calibri"/>
        <family val="2"/>
        <scheme val="minor"/>
      </rPr>
      <t xml:space="preserve">; all services included, except those considered as Specific Works (listed under); The Specific Works items (10-23) will be used in the BoQ on top of Service Package (1-7) if required.
General requirements applicable to all Service Packages (SP 1 to 7), depending to the infrastructure caracteristics (on site intervention, aerial or underground): fault identification (including required digging), cable installation and preparation, all fibers splicing, closure box - closing, sealing, installation-, handhole installation (including handhole required digging), transport, tests, measurements intervention report, material BoQ, inventory database updates. The other Specific Works will be used in the BoQ seprately if necessary. Only final remediation will be considered for Service Package ticket validation. </t>
    </r>
  </si>
  <si>
    <t>CR7 FOU</t>
  </si>
  <si>
    <r>
      <rPr>
        <b/>
        <sz val="11"/>
        <rFont val="Calibri"/>
        <family val="2"/>
        <scheme val="minor"/>
      </rPr>
      <t>Complete services Underground, Capital repairs (&gt;300m cable required)</t>
    </r>
    <r>
      <rPr>
        <sz val="11"/>
        <rFont val="Calibri"/>
        <family val="2"/>
        <scheme val="minor"/>
      </rPr>
      <t xml:space="preserve">; all services included, except those considered as Specific Works (listed under); The Specific Works items (10-23) will be used in the BoQ on top of Service Package (1-7) if required.
General requirements applicable to all Service Packages (SP 1 to 7), depending to the infrastructure caracteristics (on site intervention, aerial or underground): fault identification (including required digging), cable installation and preparation, all fibers splicing, closure box - closing, sealing, installation-, handhole installation (including handhole required digging), transport, tests, measurements intervention report, material BoQ, inventory database updates. The other Specific Works will be used in the BoQ seprately if necessary. Only final remediation will be considered for Service Package ticket validation. </t>
    </r>
  </si>
  <si>
    <t>Directed drilling</t>
  </si>
  <si>
    <t>Unguided drilling</t>
  </si>
  <si>
    <t>Pole replacement wood, composite</t>
  </si>
  <si>
    <t>Pole replacement metallic, concrete</t>
  </si>
  <si>
    <t>Pole instalation</t>
  </si>
  <si>
    <t>Pole dismantling wood, composite</t>
  </si>
  <si>
    <t>Pole dismantling metallic, concrete</t>
  </si>
  <si>
    <t>Ditch</t>
  </si>
  <si>
    <t>Rock digging with a pneumatic hammer and hand tools</t>
  </si>
  <si>
    <t>Concrete breakage</t>
  </si>
  <si>
    <t>Restoration of aerian crossing  type1</t>
  </si>
  <si>
    <t>Restoration of aerian crossing  type2</t>
  </si>
  <si>
    <t>Asphalt coatings</t>
  </si>
  <si>
    <t>Restoration of pavements, pedestrian alleys</t>
  </si>
  <si>
    <t>Accident-Orice tip de accident (masina,etc.)</t>
  </si>
  <si>
    <t>Clima- Alunecari de teren, viituri, furtuna, etc…</t>
  </si>
  <si>
    <t>Lucrari civile-Lucrari efectuate de persoane fizice</t>
  </si>
  <si>
    <t>Category</t>
  </si>
  <si>
    <t>MST0001</t>
  </si>
  <si>
    <t>MST0002</t>
  </si>
  <si>
    <t>MST0003</t>
  </si>
  <si>
    <t>MST0004</t>
  </si>
  <si>
    <t>MST0005</t>
  </si>
  <si>
    <t>MST0006</t>
  </si>
  <si>
    <t>MST0007</t>
  </si>
  <si>
    <t>MST0008</t>
  </si>
  <si>
    <t>MST0009</t>
  </si>
  <si>
    <t>MST0010</t>
  </si>
  <si>
    <t>MST0011</t>
  </si>
  <si>
    <t>MST0012</t>
  </si>
  <si>
    <t>MST0013</t>
  </si>
  <si>
    <t>MST0014</t>
  </si>
  <si>
    <t>MST0015</t>
  </si>
  <si>
    <t>MST0016</t>
  </si>
  <si>
    <t>MST0017</t>
  </si>
  <si>
    <t>MST0018</t>
  </si>
  <si>
    <t>MST0019</t>
  </si>
  <si>
    <t>MST0020</t>
  </si>
  <si>
    <t>MST0021</t>
  </si>
  <si>
    <t>MST0022</t>
  </si>
  <si>
    <t>MST0023</t>
  </si>
  <si>
    <t>MST0024</t>
  </si>
  <si>
    <t>MST0025</t>
  </si>
  <si>
    <t>MST0026</t>
  </si>
  <si>
    <t>MST0027</t>
  </si>
  <si>
    <t>MST0028</t>
  </si>
  <si>
    <t>MST0029</t>
  </si>
  <si>
    <t>MST0030</t>
  </si>
  <si>
    <t>MST0031</t>
  </si>
  <si>
    <t>MST0032</t>
  </si>
  <si>
    <t>MST0033</t>
  </si>
  <si>
    <t>MST0034</t>
  </si>
  <si>
    <t>MST0035</t>
  </si>
  <si>
    <t>MST0036</t>
  </si>
  <si>
    <t>MST0037</t>
  </si>
  <si>
    <t>MST0038</t>
  </si>
  <si>
    <t>MST0039</t>
  </si>
  <si>
    <t>MST0040</t>
  </si>
  <si>
    <t>MST0041</t>
  </si>
  <si>
    <t>MST0042</t>
  </si>
  <si>
    <t>MST0043</t>
  </si>
  <si>
    <t>MST0044</t>
  </si>
  <si>
    <t>MST0045</t>
  </si>
  <si>
    <t>MST0046</t>
  </si>
  <si>
    <t>MST0047</t>
  </si>
  <si>
    <t>MST0048</t>
  </si>
  <si>
    <t>MST0049</t>
  </si>
  <si>
    <t>MST0050</t>
  </si>
  <si>
    <t>MST0051</t>
  </si>
  <si>
    <t>MST0052</t>
  </si>
  <si>
    <t>MST0053</t>
  </si>
  <si>
    <t>MST0054</t>
  </si>
  <si>
    <t>MST0055</t>
  </si>
  <si>
    <t>MST0056</t>
  </si>
  <si>
    <t>MST0057</t>
  </si>
  <si>
    <t>MST0058</t>
  </si>
  <si>
    <t>MST0059</t>
  </si>
  <si>
    <t>MST0060</t>
  </si>
  <si>
    <t>MST0061</t>
  </si>
  <si>
    <t>MST0062</t>
  </si>
  <si>
    <t>MST0063</t>
  </si>
  <si>
    <t>MST0064</t>
  </si>
  <si>
    <t>MST0065</t>
  </si>
  <si>
    <t>MST0066</t>
  </si>
  <si>
    <t>MST0067</t>
  </si>
  <si>
    <t>MST0068</t>
  </si>
  <si>
    <t>MST0069</t>
  </si>
  <si>
    <t>MST0070</t>
  </si>
  <si>
    <t>MST0071</t>
  </si>
  <si>
    <t>MST0072</t>
  </si>
  <si>
    <t>MST0073</t>
  </si>
  <si>
    <t>MST0074</t>
  </si>
  <si>
    <t>MST0075</t>
  </si>
  <si>
    <t>MST0076</t>
  </si>
  <si>
    <t>MST0077</t>
  </si>
  <si>
    <t>MST0078</t>
  </si>
  <si>
    <t>MST0079</t>
  </si>
  <si>
    <t>MST0080</t>
  </si>
  <si>
    <t>MST0081</t>
  </si>
  <si>
    <t>MST0082</t>
  </si>
  <si>
    <t>MST0083</t>
  </si>
  <si>
    <t>MST0084</t>
  </si>
  <si>
    <t>MST0085</t>
  </si>
  <si>
    <t>MST0086</t>
  </si>
  <si>
    <t>MST0087</t>
  </si>
  <si>
    <t>MST0088</t>
  </si>
  <si>
    <t>MST0089</t>
  </si>
  <si>
    <t>ORO Item code</t>
  </si>
  <si>
    <t>Nume</t>
  </si>
  <si>
    <t>Locatie</t>
  </si>
  <si>
    <t>Continut</t>
  </si>
  <si>
    <t>ROW</t>
  </si>
  <si>
    <t>Zona</t>
  </si>
  <si>
    <t>ERROR</t>
  </si>
  <si>
    <t>='QAF628'!$B$67</t>
  </si>
  <si>
    <t>='QAF628'!$D$11</t>
  </si>
  <si>
    <t>='QAF628'!$M$51</t>
  </si>
  <si>
    <t>='QAF628'!$M$52</t>
  </si>
  <si>
    <t>='QAF628'!$M$53</t>
  </si>
  <si>
    <t>='QAF628'!$M$54</t>
  </si>
  <si>
    <t>='QAF628'!$C$23</t>
  </si>
  <si>
    <t>='QAF628'!$F$21</t>
  </si>
  <si>
    <t>='QAF628'!$F$20</t>
  </si>
  <si>
    <t>='QAF628'!$F$18</t>
  </si>
  <si>
    <t>='QAF628'!$F$19</t>
  </si>
  <si>
    <t>='QAF628'!$C$25</t>
  </si>
  <si>
    <t>='QAF628'!$C$29</t>
  </si>
  <si>
    <t>='QAF628'!$P$15</t>
  </si>
  <si>
    <t>='QAF628'!$Q$15</t>
  </si>
  <si>
    <t>='QAF628'!$D$15</t>
  </si>
  <si>
    <t>='QAF628'!$K$9</t>
  </si>
  <si>
    <t>='QAF628'!$K$56</t>
  </si>
  <si>
    <t>='QAF628'!$L$41</t>
  </si>
  <si>
    <t>='QAF628'!$P$41</t>
  </si>
  <si>
    <t>='QAF628'!$R$41</t>
  </si>
  <si>
    <t>='QAF628'!$L$42</t>
  </si>
  <si>
    <t>='QAF628'!$P$42</t>
  </si>
  <si>
    <t>='QAF628'!$R$42</t>
  </si>
  <si>
    <t>='QAF628'!$L$43</t>
  </si>
  <si>
    <t>='QAF628'!$P$43</t>
  </si>
  <si>
    <t>='QAF628'!$R$43</t>
  </si>
  <si>
    <t>='QAF628'!$L$44</t>
  </si>
  <si>
    <t>='QAF628'!$P$44</t>
  </si>
  <si>
    <t>='QAF628'!$R$44</t>
  </si>
  <si>
    <t>='QAF628'!$H$14</t>
  </si>
  <si>
    <t>='QAF628'!$G$51</t>
  </si>
  <si>
    <t>='QAF628'!$G$52</t>
  </si>
  <si>
    <t>='QAF628'!$G$53</t>
  </si>
  <si>
    <t>='QAF628'!$G$54</t>
  </si>
  <si>
    <t>='QAF628'!$C$35</t>
  </si>
  <si>
    <t>='QAF628'!$C$39</t>
  </si>
  <si>
    <t>='QAF628'!$G$41</t>
  </si>
  <si>
    <t>='QAF628'!$G$42</t>
  </si>
  <si>
    <t>='QAF628'!$G$43</t>
  </si>
  <si>
    <t>='QAF628'!$G$44</t>
  </si>
  <si>
    <t>='QAF628'!$P$14</t>
  </si>
  <si>
    <t>='QAF628'!$Q$14</t>
  </si>
  <si>
    <t>='QAF628'!$I$56</t>
  </si>
  <si>
    <t>='QAF628'!$E$56</t>
  </si>
  <si>
    <t>='QAF628'!$C$56</t>
  </si>
  <si>
    <t>='QAF628'!$G$56</t>
  </si>
  <si>
    <t>='QAF628'!$N$51</t>
  </si>
  <si>
    <t>='QAF628'!$N$52</t>
  </si>
  <si>
    <t>='QAF628'!$N$53</t>
  </si>
  <si>
    <t>='QAF628'!$N$54</t>
  </si>
  <si>
    <t>='QAF628'!$C$46</t>
  </si>
  <si>
    <t>='QAF628'!$C$47</t>
  </si>
  <si>
    <t>='QAF628'!$C$48</t>
  </si>
  <si>
    <t>='QAF628'!$C$49</t>
  </si>
  <si>
    <t>='QAF628'!$D$7</t>
  </si>
  <si>
    <t>='QAF628'!$A$59</t>
  </si>
  <si>
    <t>='QAF628'!$G$21</t>
  </si>
  <si>
    <t>='QAF628'!$G$20</t>
  </si>
  <si>
    <t>='QAF628'!$G$18</t>
  </si>
  <si>
    <t>='QAF628'!$G$19</t>
  </si>
  <si>
    <t>='QAF628'!$D$16</t>
  </si>
  <si>
    <t>='QAF628'!$A$1</t>
  </si>
  <si>
    <t>='QAF628'!$O$41</t>
  </si>
  <si>
    <t>='QAF628'!$Q$41</t>
  </si>
  <si>
    <t>='QAF628'!$O$42</t>
  </si>
  <si>
    <t>='QAF628'!$Q$42</t>
  </si>
  <si>
    <t>='QAF628'!$O$43</t>
  </si>
  <si>
    <t>='QAF628'!$Q$43</t>
  </si>
  <si>
    <t>='QAF628'!$O$44</t>
  </si>
  <si>
    <t>='QAF628'!$Q$44</t>
  </si>
  <si>
    <t>='QAF628'!$D$5</t>
  </si>
  <si>
    <t>='QAF628'!$K$5</t>
  </si>
  <si>
    <t>='QAF628'!$F$14</t>
  </si>
  <si>
    <t>='QAF628'!$I$11</t>
  </si>
  <si>
    <t>='QAF628'!$D$14</t>
  </si>
  <si>
    <t>='QAF628'!$M$41</t>
  </si>
  <si>
    <t>='QAF628'!$M$42</t>
  </si>
  <si>
    <t>='QAF628'!$M$43</t>
  </si>
  <si>
    <t>='QAF628'!$M$44</t>
  </si>
  <si>
    <t>='QAF628'!$D$9</t>
  </si>
  <si>
    <t>='QAF628'!$F$79</t>
  </si>
  <si>
    <t>='QAF628'!$C$77</t>
  </si>
  <si>
    <t>antet</t>
  </si>
  <si>
    <t>Observatii</t>
  </si>
  <si>
    <t>Urmarirea constructiei</t>
  </si>
  <si>
    <t>Verificare finala</t>
  </si>
  <si>
    <t>Info interv.: partea initiala</t>
  </si>
  <si>
    <t>Info interv.: zona coordonate incident</t>
  </si>
  <si>
    <t>Info interv.: partea finala</t>
  </si>
  <si>
    <t>Coordonatele se completeaza aici doar in doua moduri, vezi  celulele cu galben.</t>
  </si>
  <si>
    <t>Celulele albastre se vor copia la coordonatele incidentelor/jonctiunilor.</t>
  </si>
  <si>
    <t>Small civil works intervention</t>
  </si>
  <si>
    <t>Lucrari civile minore pentru stalpi din lemn/compozit, infrastructura subterana, camine de vizitare, cutii de tragere; Minor civil works for wooden/composite poles, underground infrastructure, manholes, pulling boxes</t>
  </si>
  <si>
    <t>Demontare infrastructura</t>
  </si>
  <si>
    <t>TD</t>
  </si>
  <si>
    <t>10276926</t>
  </si>
  <si>
    <t>buc</t>
  </si>
  <si>
    <t>60074834</t>
  </si>
  <si>
    <t>ml</t>
  </si>
  <si>
    <t>60074835</t>
  </si>
  <si>
    <t>60088565</t>
  </si>
  <si>
    <t>60088566</t>
  </si>
  <si>
    <t>60088567</t>
  </si>
  <si>
    <t>60097285</t>
  </si>
  <si>
    <t>FUMD LT E0 96 8 (12G.657A1) - TDS10129-R14</t>
  </si>
  <si>
    <t>60107610</t>
  </si>
  <si>
    <t>FADS LT K0E0 24(6NZD+18G652D)-TC08382</t>
  </si>
  <si>
    <t>FADS|LT|K0EO|24 4x6 G.652D -TC07302-en</t>
  </si>
  <si>
    <t>60107782</t>
  </si>
  <si>
    <t>60107823</t>
  </si>
  <si>
    <t>FADS LT K0E0 48(6G652D)-TC08382-en</t>
  </si>
  <si>
    <t>60107854</t>
  </si>
  <si>
    <t>FVUA|FT|K0M1 12 1(12G.657A2 200)-TC06871-en</t>
  </si>
  <si>
    <t>CMJ-F-C-CCCC-X-Y-N</t>
  </si>
  <si>
    <t>CMJ SE2.2 9-11OVAL 4XCIRC7-20</t>
  </si>
  <si>
    <t>UMJ-F-C-CCCC-X-Y-N</t>
  </si>
  <si>
    <t>UMJ SE2.2 9-11OVAL 4XCIRC7-20</t>
  </si>
  <si>
    <t>Compact splitter-PLC-1X8-A2-PG</t>
  </si>
  <si>
    <t>Small Size Telecom chamber 400R DMC + FRAME</t>
  </si>
  <si>
    <t>Small/medium Telecom Chamber 500R B125</t>
  </si>
  <si>
    <t>MST0090</t>
  </si>
  <si>
    <t>MST0091</t>
  </si>
  <si>
    <t>Proconect</t>
  </si>
  <si>
    <t>x</t>
  </si>
  <si>
    <t>AABAABBBAABB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</si>
</sst>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000"/>
  </numFmts>
  <fonts count="65" x14ac:knownFonts="1">
    <font>
      <sz val="11"/>
      <color theme="1"/>
      <name val="Calibri"/>
      <family val="2"/>
      <scheme val="minor"/>
    </font>
    <font>
      <sz val="10"/>
      <name val="Arial"/>
      <family val="2"/>
    </font>
    <font>
      <b/>
      <sz val="16"/>
      <name val="Arial"/>
      <family val="2"/>
    </font>
    <font>
      <sz val="11"/>
      <color indexed="8"/>
      <name val="Arial"/>
      <family val="2"/>
    </font>
    <font>
      <b/>
      <i/>
      <sz val="12"/>
      <name val="Arial"/>
      <family val="2"/>
    </font>
    <font>
      <sz val="12"/>
      <color indexed="8"/>
      <name val="Arial"/>
      <family val="2"/>
    </font>
    <font>
      <sz val="14"/>
      <name val="Arial"/>
      <family val="2"/>
    </font>
    <font>
      <b/>
      <sz val="12"/>
      <name val="Arial"/>
      <family val="2"/>
    </font>
    <font>
      <sz val="11"/>
      <color theme="1"/>
      <name val="Arial"/>
      <family val="2"/>
    </font>
    <font>
      <sz val="14"/>
      <color theme="1"/>
      <name val="Arial"/>
      <family val="2"/>
    </font>
    <font>
      <b/>
      <i/>
      <sz val="16"/>
      <color theme="1"/>
      <name val="Arial"/>
      <family val="2"/>
    </font>
    <font>
      <sz val="16"/>
      <color theme="1"/>
      <name val="Arial"/>
      <family val="2"/>
    </font>
    <font>
      <i/>
      <sz val="16"/>
      <name val="Arial"/>
      <family val="2"/>
    </font>
    <font>
      <b/>
      <sz val="16"/>
      <color theme="1"/>
      <name val="Arial"/>
      <family val="2"/>
    </font>
    <font>
      <b/>
      <sz val="14"/>
      <color theme="1"/>
      <name val="Arial"/>
      <family val="2"/>
    </font>
    <font>
      <b/>
      <i/>
      <sz val="12"/>
      <color theme="1"/>
      <name val="Arial"/>
      <family val="2"/>
    </font>
    <font>
      <sz val="8"/>
      <color theme="0"/>
      <name val="Arial"/>
      <family val="2"/>
    </font>
    <font>
      <sz val="12"/>
      <color theme="1"/>
      <name val="Arial"/>
      <family val="2"/>
    </font>
    <font>
      <sz val="12"/>
      <name val="Arial"/>
      <family val="2"/>
    </font>
    <font>
      <b/>
      <sz val="12"/>
      <color theme="1"/>
      <name val="Arial"/>
      <family val="2"/>
    </font>
    <font>
      <b/>
      <i/>
      <sz val="14"/>
      <color theme="1"/>
      <name val="Arial"/>
      <family val="2"/>
    </font>
    <font>
      <sz val="11"/>
      <color theme="0"/>
      <name val="Arial"/>
      <family val="2"/>
    </font>
    <font>
      <b/>
      <i/>
      <sz val="18"/>
      <color theme="1"/>
      <name val="Arial"/>
      <family val="2"/>
    </font>
    <font>
      <b/>
      <sz val="18"/>
      <color theme="1"/>
      <name val="Arial"/>
      <family val="2"/>
    </font>
    <font>
      <i/>
      <sz val="12"/>
      <name val="Arial"/>
      <family val="2"/>
    </font>
    <font>
      <b/>
      <i/>
      <u/>
      <sz val="12"/>
      <name val="Arial"/>
      <family val="2"/>
    </font>
    <font>
      <i/>
      <sz val="10"/>
      <name val="Arial"/>
      <family val="2"/>
    </font>
    <font>
      <sz val="16"/>
      <color theme="0"/>
      <name val="Arial"/>
      <family val="2"/>
    </font>
    <font>
      <b/>
      <i/>
      <sz val="12"/>
      <color rgb="FFFF0000"/>
      <name val="Arial"/>
      <family val="2"/>
    </font>
    <font>
      <b/>
      <sz val="16"/>
      <color theme="0"/>
      <name val="Arial"/>
      <family val="2"/>
    </font>
    <font>
      <b/>
      <sz val="24"/>
      <name val="Arial"/>
      <family val="2"/>
    </font>
    <font>
      <b/>
      <sz val="10"/>
      <name val="Arial"/>
      <family val="2"/>
    </font>
    <font>
      <i/>
      <sz val="16"/>
      <color theme="1"/>
      <name val="Arial"/>
      <family val="2"/>
    </font>
    <font>
      <sz val="16"/>
      <name val="Arial"/>
      <family val="2"/>
    </font>
    <font>
      <sz val="11"/>
      <color rgb="FFFF0000"/>
      <name val="Arial"/>
      <family val="2"/>
    </font>
    <font>
      <b/>
      <sz val="11"/>
      <color indexed="8"/>
      <name val="Arial"/>
      <family val="2"/>
    </font>
    <font>
      <sz val="11"/>
      <name val="Arial"/>
      <family val="2"/>
    </font>
    <font>
      <i/>
      <sz val="12"/>
      <color theme="1"/>
      <name val="Arial"/>
      <family val="2"/>
    </font>
    <font>
      <i/>
      <sz val="16"/>
      <color indexed="8"/>
      <name val="Arial"/>
      <family val="2"/>
    </font>
    <font>
      <b/>
      <sz val="11"/>
      <color theme="1"/>
      <name val="Arial"/>
      <family val="2"/>
    </font>
    <font>
      <sz val="11"/>
      <color indexed="8"/>
      <name val="Calibri"/>
      <family val="2"/>
    </font>
    <font>
      <u/>
      <sz val="11"/>
      <color theme="10"/>
      <name val="Calibri"/>
      <family val="2"/>
      <scheme val="minor"/>
    </font>
    <font>
      <b/>
      <sz val="14"/>
      <color indexed="8"/>
      <name val="Arial"/>
      <family val="2"/>
    </font>
    <font>
      <sz val="8"/>
      <color rgb="FFFF0000"/>
      <name val="Arial"/>
      <family val="2"/>
    </font>
    <font>
      <sz val="16"/>
      <color indexed="8"/>
      <name val="Arial"/>
      <family val="2"/>
    </font>
    <font>
      <b/>
      <sz val="11"/>
      <name val="Arial"/>
      <family val="2"/>
    </font>
    <font>
      <b/>
      <sz val="14"/>
      <name val="Arial"/>
      <family val="2"/>
    </font>
    <font>
      <sz val="12"/>
      <color indexed="81"/>
      <name val="Tahoma"/>
      <family val="2"/>
    </font>
    <font>
      <sz val="11"/>
      <color theme="1"/>
      <name val="Calibri"/>
      <family val="2"/>
      <scheme val="minor"/>
    </font>
    <font>
      <sz val="11"/>
      <name val="Calibri"/>
      <family val="2"/>
      <scheme val="minor"/>
    </font>
    <font>
      <sz val="12"/>
      <color theme="1"/>
      <name val="Calibri"/>
      <family val="2"/>
      <scheme val="minor"/>
    </font>
    <font>
      <b/>
      <sz val="11"/>
      <name val="Calibri"/>
      <family val="2"/>
      <scheme val="minor"/>
    </font>
    <font>
      <sz val="11"/>
      <color rgb="FF000000"/>
      <name val="Calibri"/>
      <family val="2"/>
      <scheme val="minor"/>
    </font>
    <font>
      <b/>
      <sz val="12"/>
      <name val="Calibri"/>
      <family val="2"/>
      <scheme val="minor"/>
    </font>
    <font>
      <b/>
      <sz val="12"/>
      <color theme="1"/>
      <name val="Calibri"/>
      <family val="2"/>
      <scheme val="minor"/>
    </font>
    <font>
      <b/>
      <sz val="11"/>
      <color theme="1"/>
      <name val="Calibri"/>
      <family val="2"/>
      <scheme val="minor"/>
    </font>
    <font>
      <sz val="11"/>
      <color theme="0"/>
      <name val="Calibri"/>
      <family val="2"/>
      <scheme val="minor"/>
    </font>
    <font>
      <b/>
      <sz val="14"/>
      <name val="Calibri"/>
      <family val="2"/>
      <scheme val="minor"/>
    </font>
    <font>
      <sz val="18"/>
      <color theme="1"/>
      <name val="Arial"/>
      <family val="2"/>
    </font>
    <font>
      <sz val="12"/>
      <color theme="0"/>
      <name val="Arial"/>
      <family val="2"/>
    </font>
    <font>
      <sz val="11"/>
      <color rgb="FFFF0000"/>
      <name val="Calibri"/>
      <family val="2"/>
      <scheme val="minor"/>
    </font>
    <font>
      <sz val="10"/>
      <color indexed="8"/>
      <name val="Arial"/>
      <family val="2"/>
    </font>
    <font>
      <sz val="10"/>
      <color theme="1"/>
      <name val="Arial"/>
      <family val="2"/>
    </font>
    <font>
      <b/>
      <sz val="10"/>
      <color indexed="8"/>
      <name val="Arial"/>
      <family val="2"/>
    </font>
    <font>
      <sz val="11"/>
      <color rgb="FF0070C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000"/>
        <bgColor indexed="64"/>
      </patternFill>
    </fill>
    <fill>
      <patternFill patternType="solid">
        <fgColor theme="7" tint="0.59999389629810485"/>
        <bgColor indexed="64"/>
      </patternFill>
    </fill>
    <fill>
      <patternFill patternType="solid">
        <fgColor rgb="FF92D05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8">
    <xf numFmtId="0" fontId="0" fillId="0" borderId="0"/>
    <xf numFmtId="0" fontId="1" fillId="0" borderId="0"/>
    <xf numFmtId="0" fontId="41" fillId="0" borderId="0" applyNumberForma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48" fillId="0" borderId="0"/>
  </cellStyleXfs>
  <cellXfs count="265">
    <xf numFmtId="0" fontId="0" fillId="0" borderId="0" xfId="0"/>
    <xf numFmtId="0" fontId="12" fillId="2" borderId="0" xfId="0" applyFont="1" applyFill="1" applyAlignment="1">
      <alignment horizontal="right"/>
    </xf>
    <xf numFmtId="0" fontId="14" fillId="2" borderId="0" xfId="0" applyFont="1" applyFill="1" applyAlignment="1">
      <alignment vertical="center"/>
    </xf>
    <xf numFmtId="0" fontId="13" fillId="2" borderId="0" xfId="0" applyFont="1" applyFill="1" applyAlignment="1">
      <alignment horizontal="left" vertical="center"/>
    </xf>
    <xf numFmtId="0" fontId="2" fillId="2" borderId="0" xfId="1" applyFont="1" applyFill="1" applyAlignment="1">
      <alignment horizontal="center" vertical="center"/>
    </xf>
    <xf numFmtId="0" fontId="13" fillId="2" borderId="0" xfId="0" applyFont="1" applyFill="1" applyAlignment="1">
      <alignment vertical="center"/>
    </xf>
    <xf numFmtId="0" fontId="8" fillId="2" borderId="0" xfId="0" applyFont="1" applyFill="1"/>
    <xf numFmtId="0" fontId="16" fillId="2" borderId="0" xfId="1" applyFont="1" applyFill="1" applyAlignment="1">
      <alignment horizontal="center" vertical="center" wrapText="1"/>
    </xf>
    <xf numFmtId="0" fontId="7" fillId="2" borderId="1" xfId="0" applyFont="1" applyFill="1" applyBorder="1" applyAlignment="1">
      <alignment horizontal="center" vertical="center"/>
    </xf>
    <xf numFmtId="0" fontId="7" fillId="2" borderId="0" xfId="1" applyFont="1" applyFill="1" applyAlignment="1">
      <alignment horizontal="center" vertical="center" wrapText="1"/>
    </xf>
    <xf numFmtId="0" fontId="4" fillId="2" borderId="0" xfId="1" applyFont="1" applyFill="1" applyAlignment="1">
      <alignment vertical="center"/>
    </xf>
    <xf numFmtId="0" fontId="4" fillId="2" borderId="0" xfId="1" applyFont="1" applyFill="1" applyAlignment="1">
      <alignment horizontal="right" vertical="center"/>
    </xf>
    <xf numFmtId="0" fontId="7" fillId="2" borderId="0" xfId="0" applyFont="1" applyFill="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xf>
    <xf numFmtId="0" fontId="26" fillId="2" borderId="0" xfId="1" applyFont="1" applyFill="1" applyAlignment="1">
      <alignment vertical="center" wrapText="1"/>
    </xf>
    <xf numFmtId="0" fontId="3" fillId="2" borderId="0" xfId="0" applyFont="1" applyFill="1"/>
    <xf numFmtId="0" fontId="28" fillId="2" borderId="0" xfId="1" applyFont="1" applyFill="1" applyAlignment="1">
      <alignment vertical="center"/>
    </xf>
    <xf numFmtId="0" fontId="10" fillId="2" borderId="13" xfId="0" applyFont="1" applyFill="1" applyBorder="1"/>
    <xf numFmtId="0" fontId="10" fillId="2" borderId="14" xfId="0" applyFont="1" applyFill="1" applyBorder="1"/>
    <xf numFmtId="0" fontId="11" fillId="2" borderId="14" xfId="0" applyFont="1" applyFill="1" applyBorder="1"/>
    <xf numFmtId="0" fontId="11" fillId="2" borderId="15" xfId="0" applyFont="1" applyFill="1" applyBorder="1"/>
    <xf numFmtId="0" fontId="22" fillId="2" borderId="3" xfId="0" applyFont="1" applyFill="1" applyBorder="1"/>
    <xf numFmtId="0" fontId="8" fillId="2" borderId="4" xfId="0" applyFont="1" applyFill="1" applyBorder="1"/>
    <xf numFmtId="0" fontId="2" fillId="2" borderId="3" xfId="1" applyFont="1" applyFill="1" applyBorder="1" applyAlignment="1">
      <alignment horizontal="right" wrapText="1"/>
    </xf>
    <xf numFmtId="0" fontId="2" fillId="2" borderId="16" xfId="1" applyFont="1" applyFill="1" applyBorder="1" applyAlignment="1">
      <alignment horizontal="left" vertical="center"/>
    </xf>
    <xf numFmtId="0" fontId="2" fillId="2" borderId="17" xfId="1" applyFont="1" applyFill="1" applyBorder="1" applyAlignment="1">
      <alignment horizontal="right" vertical="center"/>
    </xf>
    <xf numFmtId="0" fontId="3" fillId="2" borderId="17" xfId="0" applyFont="1" applyFill="1" applyBorder="1"/>
    <xf numFmtId="0" fontId="13" fillId="2" borderId="17" xfId="0" applyFont="1" applyFill="1" applyBorder="1" applyAlignment="1">
      <alignment horizontal="left" vertical="center"/>
    </xf>
    <xf numFmtId="0" fontId="17" fillId="2" borderId="17" xfId="0" applyFont="1" applyFill="1" applyBorder="1" applyAlignment="1">
      <alignment horizontal="center" vertical="center"/>
    </xf>
    <xf numFmtId="0" fontId="8" fillId="2" borderId="14" xfId="0" applyFont="1" applyFill="1" applyBorder="1"/>
    <xf numFmtId="0" fontId="2" fillId="2" borderId="14" xfId="1" applyFont="1" applyFill="1" applyBorder="1" applyAlignment="1">
      <alignment horizontal="right" vertical="center"/>
    </xf>
    <xf numFmtId="0" fontId="3" fillId="2" borderId="14" xfId="0" applyFont="1" applyFill="1" applyBorder="1"/>
    <xf numFmtId="0" fontId="13" fillId="2" borderId="14" xfId="0" applyFont="1" applyFill="1" applyBorder="1" applyAlignment="1">
      <alignment horizontal="left" vertical="center"/>
    </xf>
    <xf numFmtId="0" fontId="17" fillId="2" borderId="14" xfId="0" applyFont="1" applyFill="1" applyBorder="1" applyAlignment="1">
      <alignment horizontal="center" vertical="center"/>
    </xf>
    <xf numFmtId="0" fontId="3" fillId="2" borderId="16" xfId="0" applyFont="1" applyFill="1" applyBorder="1"/>
    <xf numFmtId="0" fontId="3" fillId="2" borderId="3" xfId="0" applyFont="1" applyFill="1" applyBorder="1"/>
    <xf numFmtId="0" fontId="3" fillId="2" borderId="4" xfId="0" applyFont="1" applyFill="1" applyBorder="1"/>
    <xf numFmtId="0" fontId="3" fillId="2" borderId="18" xfId="0" applyFont="1" applyFill="1" applyBorder="1"/>
    <xf numFmtId="0" fontId="20" fillId="2" borderId="16" xfId="0" applyFont="1" applyFill="1" applyBorder="1" applyAlignment="1">
      <alignment vertical="top"/>
    </xf>
    <xf numFmtId="0" fontId="20" fillId="2" borderId="17" xfId="0" applyFont="1" applyFill="1" applyBorder="1" applyAlignment="1">
      <alignment vertical="top"/>
    </xf>
    <xf numFmtId="0" fontId="20" fillId="2" borderId="18" xfId="0" applyFont="1" applyFill="1" applyBorder="1" applyAlignment="1">
      <alignment vertical="top"/>
    </xf>
    <xf numFmtId="0" fontId="17" fillId="2" borderId="0" xfId="0" applyFont="1" applyFill="1" applyAlignment="1">
      <alignment horizontal="center" vertical="center"/>
    </xf>
    <xf numFmtId="49" fontId="31" fillId="2" borderId="0" xfId="0" applyNumberFormat="1" applyFont="1" applyFill="1" applyAlignment="1">
      <alignment horizontal="center"/>
    </xf>
    <xf numFmtId="0" fontId="18" fillId="2" borderId="0" xfId="0" applyFont="1" applyFill="1" applyAlignment="1">
      <alignment horizontal="center"/>
    </xf>
    <xf numFmtId="0" fontId="24" fillId="2" borderId="0" xfId="1" applyFont="1" applyFill="1" applyAlignment="1">
      <alignment vertical="center" wrapText="1"/>
    </xf>
    <xf numFmtId="0" fontId="21" fillId="2" borderId="18" xfId="0" applyFont="1" applyFill="1" applyBorder="1"/>
    <xf numFmtId="0" fontId="15" fillId="2" borderId="3" xfId="0" applyFont="1" applyFill="1" applyBorder="1" applyAlignment="1">
      <alignment horizontal="right" vertical="center"/>
    </xf>
    <xf numFmtId="0" fontId="22" fillId="2" borderId="0" xfId="0" applyFont="1" applyFill="1" applyAlignment="1">
      <alignment vertical="center"/>
    </xf>
    <xf numFmtId="0" fontId="21" fillId="2" borderId="4" xfId="0" applyFont="1" applyFill="1" applyBorder="1"/>
    <xf numFmtId="0" fontId="23" fillId="2" borderId="0" xfId="0" applyFont="1" applyFill="1" applyAlignment="1">
      <alignment vertical="center"/>
    </xf>
    <xf numFmtId="0" fontId="2" fillId="2" borderId="3" xfId="1" applyFont="1" applyFill="1" applyBorder="1" applyAlignment="1">
      <alignment horizontal="left" vertical="center"/>
    </xf>
    <xf numFmtId="0" fontId="2" fillId="2" borderId="0" xfId="1" applyFont="1" applyFill="1" applyAlignment="1">
      <alignment horizontal="right" vertical="center"/>
    </xf>
    <xf numFmtId="0" fontId="16" fillId="2" borderId="0" xfId="1" applyFont="1" applyFill="1" applyAlignment="1">
      <alignment horizontal="left" vertical="center" wrapText="1"/>
    </xf>
    <xf numFmtId="0" fontId="16" fillId="2" borderId="0" xfId="1" applyFont="1" applyFill="1" applyAlignment="1">
      <alignment vertical="center" wrapText="1"/>
    </xf>
    <xf numFmtId="0" fontId="22" fillId="2" borderId="3" xfId="0" applyFont="1" applyFill="1" applyBorder="1" applyAlignment="1">
      <alignment horizontal="left" vertical="center"/>
    </xf>
    <xf numFmtId="14" fontId="16" fillId="2" borderId="0" xfId="0" applyNumberFormat="1" applyFont="1" applyFill="1" applyAlignment="1">
      <alignment horizontal="right"/>
    </xf>
    <xf numFmtId="0" fontId="3" fillId="2" borderId="0" xfId="0" applyFont="1" applyFill="1" applyAlignment="1">
      <alignment horizontal="right" vertical="center"/>
    </xf>
    <xf numFmtId="0" fontId="32" fillId="2" borderId="0" xfId="0" applyFont="1" applyFill="1" applyAlignment="1">
      <alignment horizontal="right" vertical="center"/>
    </xf>
    <xf numFmtId="0" fontId="22" fillId="2" borderId="3" xfId="0" applyFont="1" applyFill="1" applyBorder="1" applyAlignment="1">
      <alignment vertical="center"/>
    </xf>
    <xf numFmtId="0" fontId="27" fillId="2" borderId="4" xfId="0" applyFont="1" applyFill="1" applyBorder="1" applyAlignment="1">
      <alignment horizontal="center" vertical="center"/>
    </xf>
    <xf numFmtId="0" fontId="18" fillId="2" borderId="4" xfId="0" applyFont="1" applyFill="1" applyBorder="1" applyAlignment="1">
      <alignment horizontal="center"/>
    </xf>
    <xf numFmtId="0" fontId="13" fillId="2" borderId="4" xfId="0" applyFont="1" applyFill="1" applyBorder="1" applyAlignment="1">
      <alignment horizontal="left" vertical="center"/>
    </xf>
    <xf numFmtId="0" fontId="21" fillId="2" borderId="15" xfId="0" applyFont="1" applyFill="1" applyBorder="1"/>
    <xf numFmtId="0" fontId="3" fillId="2" borderId="0" xfId="0" applyFont="1" applyFill="1" applyAlignment="1">
      <alignment horizontal="center" vertical="center"/>
    </xf>
    <xf numFmtId="0" fontId="37" fillId="2" borderId="3" xfId="0" applyFont="1" applyFill="1" applyBorder="1" applyAlignment="1">
      <alignment horizontal="right" vertical="center"/>
    </xf>
    <xf numFmtId="0" fontId="38" fillId="2" borderId="0" xfId="0" applyFont="1" applyFill="1" applyAlignment="1">
      <alignment horizontal="right"/>
    </xf>
    <xf numFmtId="0" fontId="36" fillId="2" borderId="4" xfId="0" applyFont="1" applyFill="1" applyBorder="1" applyAlignment="1">
      <alignment horizontal="left" vertical="center"/>
    </xf>
    <xf numFmtId="1" fontId="8" fillId="2" borderId="1" xfId="0" applyNumberFormat="1" applyFont="1" applyFill="1" applyBorder="1" applyAlignment="1" applyProtection="1">
      <alignment horizontal="center" vertical="center"/>
      <protection locked="0"/>
    </xf>
    <xf numFmtId="0" fontId="3" fillId="2" borderId="3" xfId="0" applyFont="1" applyFill="1" applyBorder="1" applyAlignment="1">
      <alignment horizontal="right" vertical="center"/>
    </xf>
    <xf numFmtId="0" fontId="3" fillId="2" borderId="15" xfId="0" applyFont="1" applyFill="1" applyBorder="1"/>
    <xf numFmtId="0" fontId="42" fillId="2" borderId="13" xfId="0" applyFont="1" applyFill="1" applyBorder="1"/>
    <xf numFmtId="0" fontId="34" fillId="2" borderId="0" xfId="0" applyFont="1" applyFill="1" applyAlignment="1">
      <alignment horizontal="right"/>
    </xf>
    <xf numFmtId="0" fontId="43" fillId="2" borderId="0" xfId="0" applyFont="1" applyFill="1" applyAlignment="1">
      <alignment horizontal="right" vertical="center"/>
    </xf>
    <xf numFmtId="0" fontId="43" fillId="2" borderId="0" xfId="0" applyFont="1" applyFill="1" applyAlignment="1">
      <alignment horizontal="center" vertical="center"/>
    </xf>
    <xf numFmtId="0" fontId="43" fillId="2" borderId="0" xfId="0" applyFont="1" applyFill="1"/>
    <xf numFmtId="0" fontId="1" fillId="0" borderId="0" xfId="0" applyFont="1" applyAlignment="1">
      <alignment horizontal="center" vertical="center"/>
    </xf>
    <xf numFmtId="165" fontId="1" fillId="0" borderId="0" xfId="0" applyNumberFormat="1" applyFont="1" applyAlignment="1">
      <alignment horizontal="left" vertical="center"/>
    </xf>
    <xf numFmtId="0" fontId="0" fillId="0" borderId="0" xfId="0" applyAlignment="1">
      <alignment horizontal="left"/>
    </xf>
    <xf numFmtId="0" fontId="34" fillId="0" borderId="0" xfId="0" applyFont="1" applyAlignment="1">
      <alignment vertical="center"/>
    </xf>
    <xf numFmtId="0" fontId="34" fillId="3" borderId="12" xfId="0" applyFont="1" applyFill="1" applyBorder="1" applyAlignment="1">
      <alignment vertical="center"/>
    </xf>
    <xf numFmtId="1" fontId="3" fillId="2" borderId="1" xfId="0" applyNumberFormat="1" applyFont="1" applyFill="1" applyBorder="1" applyAlignment="1" applyProtection="1">
      <alignment horizontal="center" vertical="center"/>
      <protection locked="0"/>
    </xf>
    <xf numFmtId="0" fontId="3" fillId="2" borderId="2" xfId="0" applyFont="1" applyFill="1" applyBorder="1" applyAlignment="1" applyProtection="1">
      <alignment horizontal="center" vertical="center"/>
      <protection locked="0"/>
    </xf>
    <xf numFmtId="0" fontId="45" fillId="0" borderId="1" xfId="0" applyFont="1" applyBorder="1" applyAlignment="1">
      <alignment horizontal="center" vertical="center"/>
    </xf>
    <xf numFmtId="0" fontId="8" fillId="0" borderId="1" xfId="0" applyFont="1" applyBorder="1" applyAlignment="1">
      <alignment horizontal="left" vertical="center"/>
    </xf>
    <xf numFmtId="0" fontId="22" fillId="2" borderId="13" xfId="0" applyFont="1" applyFill="1" applyBorder="1"/>
    <xf numFmtId="0" fontId="40" fillId="5" borderId="1" xfId="0" applyFont="1" applyFill="1" applyBorder="1" applyAlignment="1">
      <alignment horizontal="center" vertical="center"/>
    </xf>
    <xf numFmtId="0" fontId="3" fillId="2" borderId="0" xfId="0" applyFont="1" applyFill="1" applyAlignment="1">
      <alignment vertical="top" wrapText="1"/>
    </xf>
    <xf numFmtId="0" fontId="3" fillId="2" borderId="0" xfId="0" applyFont="1" applyFill="1" applyAlignment="1">
      <alignment horizontal="center" wrapText="1"/>
    </xf>
    <xf numFmtId="164" fontId="17" fillId="2" borderId="1" xfId="0" applyNumberFormat="1" applyFont="1" applyFill="1" applyBorder="1" applyAlignment="1" applyProtection="1">
      <alignment horizontal="center" vertical="center"/>
      <protection locked="0"/>
    </xf>
    <xf numFmtId="0" fontId="3" fillId="2" borderId="4" xfId="0" applyFont="1" applyFill="1" applyBorder="1" applyAlignment="1">
      <alignment horizontal="center"/>
    </xf>
    <xf numFmtId="166" fontId="3" fillId="4" borderId="2" xfId="0" applyNumberFormat="1" applyFont="1" applyFill="1" applyBorder="1" applyAlignment="1" applyProtection="1">
      <alignment horizontal="left" vertical="center"/>
      <protection locked="0"/>
    </xf>
    <xf numFmtId="0" fontId="53" fillId="0" borderId="27" xfId="0" applyFont="1" applyBorder="1" applyAlignment="1">
      <alignment horizontal="center" vertical="center"/>
    </xf>
    <xf numFmtId="0" fontId="53" fillId="0" borderId="26" xfId="0" applyFont="1" applyBorder="1" applyAlignment="1">
      <alignment horizontal="center" vertical="center"/>
    </xf>
    <xf numFmtId="0" fontId="17" fillId="2" borderId="0" xfId="0" applyFont="1" applyFill="1" applyAlignment="1">
      <alignment horizontal="left" vertical="center" wrapText="1"/>
    </xf>
    <xf numFmtId="0" fontId="17" fillId="2" borderId="0" xfId="0" applyFont="1" applyFill="1" applyAlignment="1">
      <alignment vertical="center" wrapText="1"/>
    </xf>
    <xf numFmtId="0" fontId="0" fillId="0" borderId="0" xfId="0" applyAlignment="1">
      <alignment vertical="center"/>
    </xf>
    <xf numFmtId="0" fontId="17" fillId="2" borderId="16" xfId="0" applyFont="1" applyFill="1" applyBorder="1" applyAlignment="1">
      <alignment vertical="center" wrapText="1"/>
    </xf>
    <xf numFmtId="0" fontId="17" fillId="2" borderId="17" xfId="0" applyFont="1" applyFill="1" applyBorder="1" applyAlignment="1">
      <alignment vertical="center" wrapText="1"/>
    </xf>
    <xf numFmtId="0" fontId="17" fillId="2" borderId="18" xfId="0" applyFont="1" applyFill="1" applyBorder="1" applyAlignment="1">
      <alignment vertical="center" wrapText="1"/>
    </xf>
    <xf numFmtId="0" fontId="21" fillId="2" borderId="0" xfId="0" applyFont="1" applyFill="1"/>
    <xf numFmtId="0" fontId="2" fillId="2" borderId="0" xfId="1" applyFont="1" applyFill="1" applyAlignment="1">
      <alignment horizontal="center" vertical="center" wrapText="1"/>
    </xf>
    <xf numFmtId="0" fontId="17" fillId="2" borderId="1"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50" fillId="0" borderId="25" xfId="0" applyFont="1" applyBorder="1" applyAlignment="1">
      <alignment horizontal="left" vertical="center"/>
    </xf>
    <xf numFmtId="0" fontId="0" fillId="0" borderId="25" xfId="0" applyBorder="1" applyAlignment="1">
      <alignment horizontal="left" vertical="center" wrapText="1"/>
    </xf>
    <xf numFmtId="0" fontId="0" fillId="0" borderId="25" xfId="0" applyBorder="1" applyAlignment="1">
      <alignment horizontal="left" vertical="center"/>
    </xf>
    <xf numFmtId="0" fontId="49" fillId="0" borderId="25" xfId="3" applyFont="1" applyBorder="1" applyAlignment="1">
      <alignment horizontal="left" vertical="center"/>
    </xf>
    <xf numFmtId="0" fontId="49" fillId="0" borderId="25" xfId="3" applyFont="1" applyBorder="1" applyAlignment="1">
      <alignment horizontal="left" vertical="center" wrapText="1"/>
    </xf>
    <xf numFmtId="0" fontId="52" fillId="0" borderId="25" xfId="3" applyFont="1" applyBorder="1" applyAlignment="1">
      <alignment horizontal="left" vertical="center"/>
    </xf>
    <xf numFmtId="0" fontId="52" fillId="0" borderId="25" xfId="3" applyFont="1" applyBorder="1" applyAlignment="1">
      <alignment horizontal="left" vertical="center" wrapText="1"/>
    </xf>
    <xf numFmtId="0" fontId="57" fillId="0" borderId="1" xfId="0" applyFont="1" applyBorder="1" applyAlignment="1">
      <alignment horizontal="center" vertical="center"/>
    </xf>
    <xf numFmtId="0" fontId="0" fillId="0" borderId="1" xfId="0" applyBorder="1" applyAlignment="1" applyProtection="1">
      <alignment horizontal="center" vertical="center"/>
      <protection locked="0"/>
    </xf>
    <xf numFmtId="0" fontId="49" fillId="0" borderId="1" xfId="3" applyFont="1" applyBorder="1"/>
    <xf numFmtId="0" fontId="52" fillId="0" borderId="1" xfId="3" applyFont="1" applyBorder="1" applyAlignment="1">
      <alignment vertical="center"/>
    </xf>
    <xf numFmtId="0" fontId="52" fillId="0" borderId="1" xfId="3" applyFont="1" applyBorder="1" applyAlignment="1">
      <alignment horizontal="center" vertical="center"/>
    </xf>
    <xf numFmtId="0" fontId="48" fillId="0" borderId="1" xfId="3" applyFont="1" applyBorder="1" applyAlignment="1">
      <alignment vertical="center"/>
    </xf>
    <xf numFmtId="0" fontId="48" fillId="0" borderId="1" xfId="3" applyFont="1" applyBorder="1" applyAlignment="1">
      <alignment horizontal="center" vertical="center"/>
    </xf>
    <xf numFmtId="0" fontId="17" fillId="2" borderId="14" xfId="0" applyFont="1" applyFill="1" applyBorder="1" applyAlignment="1">
      <alignment horizontal="left" vertical="center" wrapText="1"/>
    </xf>
    <xf numFmtId="0" fontId="54" fillId="6" borderId="28" xfId="0" applyFont="1" applyFill="1" applyBorder="1" applyAlignment="1">
      <alignment horizontal="center" vertical="center"/>
    </xf>
    <xf numFmtId="0" fontId="54" fillId="6" borderId="29" xfId="0" applyFont="1" applyFill="1" applyBorder="1" applyAlignment="1">
      <alignment horizontal="center" vertical="center"/>
    </xf>
    <xf numFmtId="0" fontId="32" fillId="2" borderId="3" xfId="0" applyFont="1" applyFill="1" applyBorder="1" applyAlignment="1">
      <alignment horizontal="left" vertical="center"/>
    </xf>
    <xf numFmtId="0" fontId="3" fillId="2" borderId="1" xfId="0" applyFont="1" applyFill="1" applyBorder="1" applyAlignment="1" applyProtection="1">
      <alignment horizontal="center" vertical="center"/>
      <protection locked="0"/>
    </xf>
    <xf numFmtId="0" fontId="3" fillId="2" borderId="0" xfId="0" applyFont="1" applyFill="1" applyAlignment="1">
      <alignment horizontal="center"/>
    </xf>
    <xf numFmtId="0" fontId="12" fillId="2" borderId="3" xfId="1" applyFont="1" applyFill="1" applyBorder="1" applyAlignment="1">
      <alignment horizontal="right" vertical="center" wrapText="1"/>
    </xf>
    <xf numFmtId="0" fontId="12" fillId="2" borderId="0" xfId="1" applyFont="1" applyFill="1" applyAlignment="1">
      <alignment horizontal="right" vertical="center" wrapText="1"/>
    </xf>
    <xf numFmtId="0" fontId="15" fillId="2" borderId="14" xfId="0" applyFont="1" applyFill="1" applyBorder="1" applyAlignment="1">
      <alignment horizontal="right" vertical="center"/>
    </xf>
    <xf numFmtId="0" fontId="21" fillId="2" borderId="0" xfId="0" applyFont="1" applyFill="1" applyAlignment="1">
      <alignment horizontal="center"/>
    </xf>
    <xf numFmtId="0" fontId="9" fillId="2" borderId="0" xfId="0" applyFont="1" applyFill="1" applyAlignment="1">
      <alignment vertical="center"/>
    </xf>
    <xf numFmtId="0" fontId="23" fillId="2" borderId="1" xfId="0" applyFont="1" applyFill="1" applyBorder="1" applyAlignment="1" applyProtection="1">
      <alignment horizontal="center" vertical="center"/>
      <protection locked="0"/>
    </xf>
    <xf numFmtId="0" fontId="8" fillId="2" borderId="17" xfId="0" applyFont="1" applyFill="1" applyBorder="1"/>
    <xf numFmtId="0" fontId="15" fillId="2" borderId="17" xfId="0" applyFont="1" applyFill="1" applyBorder="1" applyAlignment="1">
      <alignment horizontal="right"/>
    </xf>
    <xf numFmtId="0" fontId="58" fillId="2" borderId="0" xfId="0" applyFont="1" applyFill="1" applyAlignment="1">
      <alignment vertical="center" wrapText="1"/>
    </xf>
    <xf numFmtId="0" fontId="59" fillId="2" borderId="17" xfId="0" applyFont="1" applyFill="1" applyBorder="1" applyAlignment="1">
      <alignment horizontal="center" vertical="center" wrapText="1"/>
    </xf>
    <xf numFmtId="0" fontId="61" fillId="2" borderId="0" xfId="0" applyFont="1" applyFill="1" applyAlignment="1">
      <alignment horizontal="center" wrapText="1"/>
    </xf>
    <xf numFmtId="0" fontId="61" fillId="2" borderId="0" xfId="0" applyFont="1" applyFill="1" applyAlignment="1">
      <alignment horizontal="center" vertical="center"/>
    </xf>
    <xf numFmtId="0" fontId="61" fillId="2" borderId="4" xfId="0" applyFont="1" applyFill="1" applyBorder="1" applyAlignment="1">
      <alignment horizontal="center" vertical="center"/>
    </xf>
    <xf numFmtId="0" fontId="0" fillId="0" borderId="1" xfId="0" applyBorder="1" applyAlignment="1">
      <alignment horizontal="left"/>
    </xf>
    <xf numFmtId="0" fontId="0" fillId="0" borderId="1" xfId="0" applyBorder="1"/>
    <xf numFmtId="0" fontId="0" fillId="0" borderId="1" xfId="0" applyBorder="1" applyAlignment="1">
      <alignment horizontal="center" vertical="center"/>
    </xf>
    <xf numFmtId="0" fontId="49" fillId="7" borderId="25" xfId="3" applyFont="1" applyFill="1" applyBorder="1" applyAlignment="1">
      <alignment horizontal="left" vertical="center" wrapText="1"/>
    </xf>
    <xf numFmtId="0" fontId="52" fillId="7" borderId="25" xfId="3" applyFont="1" applyFill="1" applyBorder="1" applyAlignment="1">
      <alignment horizontal="left" vertical="center" wrapText="1"/>
    </xf>
    <xf numFmtId="0" fontId="0" fillId="0" borderId="0" xfId="0" applyAlignment="1">
      <alignment horizontal="center" vertical="center"/>
    </xf>
    <xf numFmtId="0" fontId="49" fillId="0" borderId="25" xfId="3" applyFont="1" applyBorder="1" applyAlignment="1">
      <alignment horizontal="center" vertical="center"/>
    </xf>
    <xf numFmtId="0" fontId="60" fillId="0" borderId="25" xfId="3" applyFont="1" applyBorder="1" applyAlignment="1">
      <alignment horizontal="center" vertical="center"/>
    </xf>
    <xf numFmtId="0" fontId="64" fillId="0" borderId="25" xfId="3" applyFont="1" applyBorder="1" applyAlignment="1">
      <alignment horizontal="center" vertical="center" wrapText="1"/>
    </xf>
    <xf numFmtId="0" fontId="0" fillId="0" borderId="0" xfId="0" applyAlignment="1">
      <alignment horizontal="left" vertical="top" wrapText="1"/>
    </xf>
    <xf numFmtId="0" fontId="0" fillId="0" borderId="0" xfId="0" applyAlignment="1">
      <alignment wrapText="1"/>
    </xf>
    <xf numFmtId="0" fontId="0" fillId="0" borderId="25" xfId="0" applyBorder="1" applyAlignment="1" applyProtection="1">
      <alignment horizontal="center" vertical="center"/>
      <protection locked="0"/>
    </xf>
    <xf numFmtId="0" fontId="49" fillId="3" borderId="25" xfId="3" applyFont="1" applyFill="1" applyBorder="1" applyAlignment="1" applyProtection="1">
      <alignment horizontal="center" vertical="center"/>
      <protection locked="0"/>
    </xf>
    <xf numFmtId="0" fontId="52" fillId="0" borderId="25" xfId="3" applyFont="1" applyBorder="1" applyAlignment="1" applyProtection="1">
      <alignment horizontal="center" vertical="center"/>
      <protection locked="0"/>
    </xf>
    <xf numFmtId="0" fontId="49" fillId="0" borderId="1" xfId="3" applyFont="1" applyBorder="1" applyAlignment="1">
      <alignment horizontal="center"/>
    </xf>
    <xf numFmtId="0" fontId="0" fillId="0" borderId="0" xfId="0" applyAlignment="1">
      <alignment horizontal="center"/>
    </xf>
    <xf numFmtId="0" fontId="1" fillId="0" borderId="0" xfId="0" applyFont="1"/>
    <xf numFmtId="0" fontId="1" fillId="6" borderId="0" xfId="0" applyFont="1" applyFill="1"/>
    <xf numFmtId="0" fontId="0" fillId="8" borderId="0" xfId="0" applyFill="1"/>
    <xf numFmtId="0" fontId="0" fillId="5" borderId="0" xfId="0" applyFill="1"/>
    <xf numFmtId="0" fontId="56" fillId="0" borderId="0" xfId="0" applyFont="1"/>
    <xf numFmtId="0" fontId="56" fillId="2" borderId="0" xfId="7" applyFont="1" applyFill="1"/>
    <xf numFmtId="0" fontId="64" fillId="0" borderId="25" xfId="3" applyFont="1" applyBorder="1" applyAlignment="1">
      <alignment horizontal="left" vertical="center" wrapText="1"/>
    </xf>
    <xf numFmtId="166" fontId="39" fillId="5" borderId="1" xfId="0" applyNumberFormat="1" applyFont="1" applyFill="1" applyBorder="1" applyAlignment="1">
      <alignment horizontal="center" vertical="center"/>
    </xf>
    <xf numFmtId="0" fontId="3" fillId="2" borderId="10" xfId="0" applyFont="1" applyFill="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41" fillId="0" borderId="10" xfId="2" applyBorder="1" applyAlignment="1" applyProtection="1">
      <alignment horizontal="left" vertical="center"/>
    </xf>
    <xf numFmtId="0" fontId="41" fillId="0" borderId="11" xfId="2" applyBorder="1" applyAlignment="1" applyProtection="1">
      <alignment horizontal="left" vertical="center"/>
    </xf>
    <xf numFmtId="0" fontId="41" fillId="0" borderId="5" xfId="2" applyBorder="1" applyAlignment="1" applyProtection="1">
      <alignment horizontal="left" vertical="center"/>
    </xf>
    <xf numFmtId="0" fontId="35" fillId="2" borderId="10" xfId="0" applyFont="1" applyFill="1" applyBorder="1" applyAlignment="1" applyProtection="1">
      <alignment horizontal="center" vertical="center"/>
      <protection locked="0"/>
    </xf>
    <xf numFmtId="0" fontId="35" fillId="2" borderId="5" xfId="0" applyFont="1" applyFill="1" applyBorder="1" applyAlignment="1" applyProtection="1">
      <alignment horizontal="center" vertical="center"/>
      <protection locked="0"/>
    </xf>
    <xf numFmtId="0" fontId="3" fillId="2" borderId="9" xfId="0" applyFont="1" applyFill="1" applyBorder="1" applyAlignment="1">
      <alignment horizontal="center" vertical="center"/>
    </xf>
    <xf numFmtId="0" fontId="3" fillId="2" borderId="1" xfId="0" applyFont="1" applyFill="1" applyBorder="1" applyAlignment="1" applyProtection="1">
      <alignment horizontal="left" vertical="center"/>
      <protection locked="0"/>
    </xf>
    <xf numFmtId="0" fontId="19" fillId="2" borderId="10" xfId="0" applyFont="1" applyFill="1" applyBorder="1" applyAlignment="1" applyProtection="1">
      <alignment horizontal="left" vertical="center" wrapText="1"/>
      <protection locked="0"/>
    </xf>
    <xf numFmtId="0" fontId="19" fillId="2" borderId="11" xfId="0" applyFont="1" applyFill="1" applyBorder="1" applyAlignment="1" applyProtection="1">
      <alignment horizontal="left" vertical="center" wrapText="1"/>
      <protection locked="0"/>
    </xf>
    <xf numFmtId="0" fontId="19" fillId="2" borderId="5" xfId="0" applyFont="1" applyFill="1" applyBorder="1" applyAlignment="1" applyProtection="1">
      <alignment horizontal="left" vertical="center" wrapText="1"/>
      <protection locked="0"/>
    </xf>
    <xf numFmtId="0" fontId="8" fillId="2" borderId="1" xfId="0" applyFont="1" applyFill="1" applyBorder="1" applyAlignment="1" applyProtection="1">
      <alignment horizontal="center" vertical="center"/>
      <protection locked="0"/>
    </xf>
    <xf numFmtId="0" fontId="8" fillId="2" borderId="2" xfId="0" applyFont="1" applyFill="1" applyBorder="1" applyAlignment="1" applyProtection="1">
      <alignment horizontal="center" vertical="center"/>
      <protection locked="0"/>
    </xf>
    <xf numFmtId="0" fontId="41" fillId="0" borderId="1" xfId="2" applyBorder="1" applyAlignment="1" applyProtection="1">
      <alignment horizontal="left" vertical="center"/>
    </xf>
    <xf numFmtId="0" fontId="36" fillId="2" borderId="1" xfId="1" applyFont="1" applyFill="1" applyBorder="1" applyAlignment="1" applyProtection="1">
      <alignment horizontal="center" vertical="center" wrapText="1"/>
      <protection locked="0"/>
    </xf>
    <xf numFmtId="0" fontId="17" fillId="2" borderId="3" xfId="0" applyFont="1" applyFill="1" applyBorder="1" applyAlignment="1" applyProtection="1">
      <alignment horizontal="left" vertical="center" wrapText="1"/>
      <protection locked="0"/>
    </xf>
    <xf numFmtId="0" fontId="17" fillId="2" borderId="0" xfId="0" applyFont="1" applyFill="1" applyAlignment="1" applyProtection="1">
      <alignment horizontal="left" vertical="center" wrapText="1"/>
      <protection locked="0"/>
    </xf>
    <xf numFmtId="0" fontId="17" fillId="2" borderId="4" xfId="0" applyFont="1" applyFill="1" applyBorder="1" applyAlignment="1" applyProtection="1">
      <alignment horizontal="left" vertical="center" wrapText="1"/>
      <protection locked="0"/>
    </xf>
    <xf numFmtId="0" fontId="17" fillId="2" borderId="16" xfId="0" applyFont="1" applyFill="1" applyBorder="1" applyAlignment="1" applyProtection="1">
      <alignment horizontal="left" vertical="center" wrapText="1"/>
      <protection locked="0"/>
    </xf>
    <xf numFmtId="0" fontId="17" fillId="2" borderId="17" xfId="0" applyFont="1" applyFill="1" applyBorder="1" applyAlignment="1" applyProtection="1">
      <alignment horizontal="left" vertical="center" wrapText="1"/>
      <protection locked="0"/>
    </xf>
    <xf numFmtId="0" fontId="17" fillId="2" borderId="18" xfId="0" applyFont="1" applyFill="1" applyBorder="1" applyAlignment="1" applyProtection="1">
      <alignment horizontal="left" vertical="center" wrapText="1"/>
      <protection locked="0"/>
    </xf>
    <xf numFmtId="0" fontId="29" fillId="2" borderId="22" xfId="1" applyFont="1" applyFill="1" applyBorder="1" applyAlignment="1">
      <alignment horizontal="center" vertical="center" wrapText="1"/>
    </xf>
    <xf numFmtId="0" fontId="29" fillId="2" borderId="23" xfId="1" applyFont="1" applyFill="1" applyBorder="1" applyAlignment="1">
      <alignment horizontal="center" vertical="center" wrapText="1"/>
    </xf>
    <xf numFmtId="0" fontId="29" fillId="2" borderId="24" xfId="1" applyFont="1" applyFill="1" applyBorder="1" applyAlignment="1">
      <alignment horizontal="center" vertical="center" wrapText="1"/>
    </xf>
    <xf numFmtId="1" fontId="13" fillId="2" borderId="1" xfId="0" applyNumberFormat="1" applyFont="1" applyFill="1" applyBorder="1" applyAlignment="1" applyProtection="1">
      <alignment horizontal="center" vertical="center"/>
      <protection locked="0"/>
    </xf>
    <xf numFmtId="1" fontId="13" fillId="2" borderId="10" xfId="0" applyNumberFormat="1" applyFont="1" applyFill="1" applyBorder="1" applyAlignment="1" applyProtection="1">
      <alignment horizontal="center" vertical="center"/>
      <protection locked="0"/>
    </xf>
    <xf numFmtId="1" fontId="13" fillId="2" borderId="5" xfId="0" applyNumberFormat="1" applyFont="1" applyFill="1" applyBorder="1" applyAlignment="1" applyProtection="1">
      <alignment horizontal="center" vertical="center"/>
      <protection locked="0"/>
    </xf>
    <xf numFmtId="0" fontId="3" fillId="2" borderId="10" xfId="0" applyFont="1" applyFill="1" applyBorder="1" applyAlignment="1" applyProtection="1">
      <alignment horizontal="left" vertical="center"/>
      <protection locked="0"/>
    </xf>
    <xf numFmtId="0" fontId="3" fillId="2" borderId="11" xfId="0" applyFont="1" applyFill="1" applyBorder="1" applyAlignment="1" applyProtection="1">
      <alignment horizontal="left" vertical="center"/>
      <protection locked="0"/>
    </xf>
    <xf numFmtId="0" fontId="3" fillId="2" borderId="5" xfId="0" applyFont="1" applyFill="1" applyBorder="1" applyAlignment="1" applyProtection="1">
      <alignment horizontal="left" vertical="center"/>
      <protection locked="0"/>
    </xf>
    <xf numFmtId="0" fontId="2" fillId="2" borderId="13" xfId="1" applyFont="1" applyFill="1" applyBorder="1" applyAlignment="1">
      <alignment horizontal="center" vertical="center" wrapText="1"/>
    </xf>
    <xf numFmtId="0" fontId="2" fillId="2" borderId="14" xfId="1" applyFont="1" applyFill="1" applyBorder="1" applyAlignment="1">
      <alignment horizontal="center" vertical="center" wrapText="1"/>
    </xf>
    <xf numFmtId="0" fontId="2" fillId="2" borderId="15"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0" xfId="1" applyFont="1" applyFill="1" applyAlignment="1">
      <alignment horizontal="center" vertical="center" wrapText="1"/>
    </xf>
    <xf numFmtId="0" fontId="2" fillId="2" borderId="4" xfId="1" applyFont="1" applyFill="1" applyBorder="1" applyAlignment="1">
      <alignment horizontal="center" vertical="center" wrapText="1"/>
    </xf>
    <xf numFmtId="0" fontId="2" fillId="2" borderId="16" xfId="1" applyFont="1" applyFill="1" applyBorder="1" applyAlignment="1">
      <alignment horizontal="center" vertical="center" wrapText="1"/>
    </xf>
    <xf numFmtId="0" fontId="2" fillId="2" borderId="17" xfId="1" applyFont="1" applyFill="1" applyBorder="1" applyAlignment="1">
      <alignment horizontal="center" vertical="center" wrapText="1"/>
    </xf>
    <xf numFmtId="0" fontId="2" fillId="2" borderId="18" xfId="1" applyFont="1" applyFill="1" applyBorder="1" applyAlignment="1">
      <alignment horizontal="center" vertical="center" wrapText="1"/>
    </xf>
    <xf numFmtId="0" fontId="30" fillId="2" borderId="13" xfId="1" applyFont="1" applyFill="1" applyBorder="1" applyAlignment="1">
      <alignment horizontal="center" vertical="center" wrapText="1"/>
    </xf>
    <xf numFmtId="0" fontId="30" fillId="2" borderId="14" xfId="1" applyFont="1" applyFill="1" applyBorder="1" applyAlignment="1">
      <alignment horizontal="center" vertical="center" wrapText="1"/>
    </xf>
    <xf numFmtId="0" fontId="30" fillId="2" borderId="15" xfId="1" applyFont="1" applyFill="1" applyBorder="1" applyAlignment="1">
      <alignment horizontal="center" vertical="center" wrapText="1"/>
    </xf>
    <xf numFmtId="0" fontId="30" fillId="2" borderId="3" xfId="1" applyFont="1" applyFill="1" applyBorder="1" applyAlignment="1">
      <alignment horizontal="center" vertical="center" wrapText="1"/>
    </xf>
    <xf numFmtId="0" fontId="30" fillId="2" borderId="0" xfId="1" applyFont="1" applyFill="1" applyAlignment="1">
      <alignment horizontal="center" vertical="center" wrapText="1"/>
    </xf>
    <xf numFmtId="0" fontId="30" fillId="2" borderId="4" xfId="1" applyFont="1" applyFill="1" applyBorder="1" applyAlignment="1">
      <alignment horizontal="center" vertical="center" wrapText="1"/>
    </xf>
    <xf numFmtId="0" fontId="30" fillId="2" borderId="16" xfId="1" applyFont="1" applyFill="1" applyBorder="1" applyAlignment="1">
      <alignment horizontal="center" vertical="center" wrapText="1"/>
    </xf>
    <xf numFmtId="0" fontId="30" fillId="2" borderId="17" xfId="1" applyFont="1" applyFill="1" applyBorder="1" applyAlignment="1">
      <alignment horizontal="center" vertical="center" wrapText="1"/>
    </xf>
    <xf numFmtId="0" fontId="30" fillId="2" borderId="18" xfId="1" applyFont="1" applyFill="1" applyBorder="1" applyAlignment="1">
      <alignment horizontal="center" vertical="center" wrapText="1"/>
    </xf>
    <xf numFmtId="0" fontId="12" fillId="2" borderId="3" xfId="1" applyFont="1" applyFill="1" applyBorder="1" applyAlignment="1">
      <alignment horizontal="right" vertical="center" wrapText="1"/>
    </xf>
    <xf numFmtId="0" fontId="12" fillId="2" borderId="0" xfId="1" applyFont="1" applyFill="1" applyAlignment="1">
      <alignment horizontal="right" vertical="center" wrapText="1"/>
    </xf>
    <xf numFmtId="0" fontId="33" fillId="2" borderId="1" xfId="1" applyFont="1" applyFill="1" applyBorder="1" applyAlignment="1" applyProtection="1">
      <alignment horizontal="left" vertical="center" wrapText="1"/>
      <protection locked="0"/>
    </xf>
    <xf numFmtId="0" fontId="33" fillId="2" borderId="1" xfId="1" applyFont="1" applyFill="1" applyBorder="1" applyAlignment="1" applyProtection="1">
      <alignment horizontal="center" vertical="center" wrapText="1"/>
      <protection locked="0"/>
    </xf>
    <xf numFmtId="0" fontId="6" fillId="0" borderId="10" xfId="1" applyFont="1" applyBorder="1" applyAlignment="1" applyProtection="1">
      <alignment horizontal="left" vertical="center"/>
      <protection locked="0"/>
    </xf>
    <xf numFmtId="0" fontId="6" fillId="0" borderId="5" xfId="1" applyFont="1" applyBorder="1" applyAlignment="1" applyProtection="1">
      <alignment horizontal="left" vertical="center"/>
      <protection locked="0"/>
    </xf>
    <xf numFmtId="0" fontId="46" fillId="2" borderId="1" xfId="0" applyFont="1" applyFill="1" applyBorder="1" applyAlignment="1" applyProtection="1">
      <alignment horizontal="center" vertical="center"/>
      <protection locked="0"/>
    </xf>
    <xf numFmtId="20" fontId="19" fillId="2" borderId="10" xfId="0" applyNumberFormat="1" applyFont="1" applyFill="1" applyBorder="1" applyAlignment="1" applyProtection="1">
      <alignment horizontal="center" vertical="center"/>
      <protection locked="0"/>
    </xf>
    <xf numFmtId="20" fontId="19" fillId="2" borderId="5" xfId="0" applyNumberFormat="1" applyFont="1" applyFill="1" applyBorder="1" applyAlignment="1" applyProtection="1">
      <alignment horizontal="center" vertical="center"/>
      <protection locked="0"/>
    </xf>
    <xf numFmtId="0" fontId="9" fillId="2" borderId="0" xfId="0" applyFont="1" applyFill="1" applyAlignment="1">
      <alignment horizontal="center" vertical="center"/>
    </xf>
    <xf numFmtId="0" fontId="9" fillId="2" borderId="4" xfId="0" applyFont="1" applyFill="1" applyBorder="1" applyAlignment="1">
      <alignment horizontal="center" vertical="center"/>
    </xf>
    <xf numFmtId="0" fontId="22" fillId="2" borderId="14" xfId="0" applyFont="1" applyFill="1" applyBorder="1" applyAlignment="1">
      <alignment horizontal="center"/>
    </xf>
    <xf numFmtId="0" fontId="5" fillId="2" borderId="11" xfId="0" applyFont="1" applyFill="1" applyBorder="1" applyAlignment="1">
      <alignment horizontal="center"/>
    </xf>
    <xf numFmtId="0" fontId="58" fillId="2" borderId="0" xfId="0" applyFont="1" applyFill="1" applyAlignment="1">
      <alignment horizontal="center" vertical="center" wrapText="1"/>
    </xf>
    <xf numFmtId="1" fontId="6" fillId="2" borderId="10" xfId="0" applyNumberFormat="1" applyFont="1" applyFill="1" applyBorder="1" applyAlignment="1" applyProtection="1">
      <alignment horizontal="left" vertical="center"/>
      <protection locked="0"/>
    </xf>
    <xf numFmtId="1" fontId="6" fillId="2" borderId="11" xfId="0" applyNumberFormat="1" applyFont="1" applyFill="1" applyBorder="1" applyAlignment="1" applyProtection="1">
      <alignment horizontal="left" vertical="center"/>
      <protection locked="0"/>
    </xf>
    <xf numFmtId="1" fontId="6" fillId="2" borderId="5" xfId="0" applyNumberFormat="1" applyFont="1" applyFill="1" applyBorder="1" applyAlignment="1" applyProtection="1">
      <alignment horizontal="left" vertical="center"/>
      <protection locked="0"/>
    </xf>
    <xf numFmtId="0" fontId="18" fillId="2" borderId="0" xfId="1" applyFont="1" applyFill="1" applyAlignment="1">
      <alignment horizontal="right" vertical="center" wrapText="1"/>
    </xf>
    <xf numFmtId="0" fontId="18" fillId="2" borderId="7" xfId="1" applyFont="1" applyFill="1" applyBorder="1" applyAlignment="1">
      <alignment horizontal="right" vertical="center" wrapText="1"/>
    </xf>
    <xf numFmtId="0" fontId="33" fillId="2" borderId="10" xfId="1" applyFont="1" applyFill="1" applyBorder="1" applyAlignment="1" applyProtection="1">
      <alignment horizontal="center" vertical="center"/>
      <protection locked="0"/>
    </xf>
    <xf numFmtId="0" fontId="33" fillId="2" borderId="5" xfId="1" applyFont="1" applyFill="1" applyBorder="1" applyAlignment="1" applyProtection="1">
      <alignment horizontal="center" vertical="center"/>
      <protection locked="0"/>
    </xf>
    <xf numFmtId="0" fontId="61" fillId="2" borderId="9" xfId="0" applyFont="1" applyFill="1" applyBorder="1" applyAlignment="1">
      <alignment horizontal="center" vertical="center"/>
    </xf>
    <xf numFmtId="0" fontId="24" fillId="2" borderId="3" xfId="1" applyFont="1" applyFill="1" applyBorder="1" applyAlignment="1">
      <alignment horizontal="center" vertical="center" wrapText="1"/>
    </xf>
    <xf numFmtId="0" fontId="24" fillId="2" borderId="0" xfId="1" applyFont="1" applyFill="1" applyAlignment="1">
      <alignment horizontal="center" vertical="center" wrapText="1"/>
    </xf>
    <xf numFmtId="0" fontId="4" fillId="2" borderId="3" xfId="1" applyFont="1" applyFill="1" applyBorder="1" applyAlignment="1">
      <alignment horizontal="right" vertical="center" wrapText="1"/>
    </xf>
    <xf numFmtId="0" fontId="4" fillId="2" borderId="7" xfId="1" applyFont="1" applyFill="1" applyBorder="1" applyAlignment="1">
      <alignment horizontal="right" vertical="center" wrapText="1"/>
    </xf>
    <xf numFmtId="0" fontId="14" fillId="2" borderId="10" xfId="0" applyFont="1" applyFill="1" applyBorder="1" applyAlignment="1" applyProtection="1">
      <alignment horizontal="left" vertical="center"/>
      <protection locked="0"/>
    </xf>
    <xf numFmtId="0" fontId="14" fillId="2" borderId="11" xfId="0" applyFont="1" applyFill="1" applyBorder="1" applyAlignment="1" applyProtection="1">
      <alignment horizontal="left" vertical="center"/>
      <protection locked="0"/>
    </xf>
    <xf numFmtId="0" fontId="14" fillId="2" borderId="5" xfId="0" applyFont="1" applyFill="1" applyBorder="1" applyAlignment="1" applyProtection="1">
      <alignment horizontal="left" vertical="center"/>
      <protection locked="0"/>
    </xf>
    <xf numFmtId="0" fontId="17" fillId="2" borderId="20" xfId="0" applyFont="1" applyFill="1" applyBorder="1" applyAlignment="1" applyProtection="1">
      <alignment horizontal="left" vertical="center" wrapText="1"/>
      <protection locked="0"/>
    </xf>
    <xf numFmtId="0" fontId="17" fillId="2" borderId="19" xfId="0" applyFont="1" applyFill="1" applyBorder="1" applyAlignment="1" applyProtection="1">
      <alignment horizontal="left" vertical="center" wrapText="1"/>
      <protection locked="0"/>
    </xf>
    <xf numFmtId="0" fontId="17" fillId="2" borderId="21" xfId="0" applyFont="1" applyFill="1" applyBorder="1" applyAlignment="1" applyProtection="1">
      <alignment horizontal="left" vertical="center" wrapText="1"/>
      <protection locked="0"/>
    </xf>
    <xf numFmtId="0" fontId="17" fillId="2" borderId="12" xfId="0" applyFont="1" applyFill="1" applyBorder="1" applyAlignment="1" applyProtection="1">
      <alignment horizontal="left" vertical="center" wrapText="1"/>
      <protection locked="0"/>
    </xf>
    <xf numFmtId="0" fontId="17" fillId="2" borderId="7" xfId="0" applyFont="1" applyFill="1" applyBorder="1" applyAlignment="1" applyProtection="1">
      <alignment horizontal="left" vertical="center" wrapText="1"/>
      <protection locked="0"/>
    </xf>
    <xf numFmtId="0" fontId="17" fillId="2" borderId="8" xfId="0" applyFont="1" applyFill="1" applyBorder="1" applyAlignment="1" applyProtection="1">
      <alignment horizontal="left" vertical="center" wrapText="1"/>
      <protection locked="0"/>
    </xf>
    <xf numFmtId="0" fontId="17" fillId="2" borderId="9" xfId="0" applyFont="1" applyFill="1" applyBorder="1" applyAlignment="1" applyProtection="1">
      <alignment horizontal="left" vertical="center" wrapText="1"/>
      <protection locked="0"/>
    </xf>
    <xf numFmtId="0" fontId="17" fillId="2" borderId="6" xfId="0" applyFont="1" applyFill="1" applyBorder="1" applyAlignment="1" applyProtection="1">
      <alignment horizontal="left" vertical="center" wrapText="1"/>
      <protection locked="0"/>
    </xf>
    <xf numFmtId="0" fontId="3" fillId="2" borderId="11" xfId="0" applyFont="1" applyFill="1" applyBorder="1" applyAlignment="1">
      <alignment horizontal="center"/>
    </xf>
    <xf numFmtId="0" fontId="33" fillId="2" borderId="0" xfId="0" applyFont="1" applyFill="1" applyAlignment="1">
      <alignment horizontal="center" vertical="center"/>
    </xf>
    <xf numFmtId="0" fontId="33" fillId="2" borderId="4" xfId="0" applyFont="1" applyFill="1" applyBorder="1" applyAlignment="1">
      <alignment horizontal="center" vertical="center"/>
    </xf>
    <xf numFmtId="0" fontId="3" fillId="2" borderId="0" xfId="0" applyFont="1" applyFill="1" applyAlignment="1">
      <alignment horizontal="center"/>
    </xf>
    <xf numFmtId="0" fontId="44" fillId="2" borderId="10" xfId="0" applyFont="1" applyFill="1" applyBorder="1" applyAlignment="1" applyProtection="1">
      <alignment horizontal="center" vertical="center"/>
      <protection locked="0"/>
    </xf>
    <xf numFmtId="0" fontId="44" fillId="2" borderId="5" xfId="0" applyFont="1" applyFill="1" applyBorder="1" applyAlignment="1" applyProtection="1">
      <alignment horizontal="center" vertical="center"/>
      <protection locked="0"/>
    </xf>
    <xf numFmtId="0" fontId="44" fillId="2" borderId="11" xfId="0" applyFont="1" applyFill="1" applyBorder="1" applyAlignment="1" applyProtection="1">
      <alignment horizontal="center" vertical="center"/>
      <protection locked="0"/>
    </xf>
    <xf numFmtId="0" fontId="17" fillId="2" borderId="1" xfId="0" applyFont="1" applyFill="1" applyBorder="1" applyAlignment="1" applyProtection="1">
      <alignment horizontal="center" vertical="center"/>
      <protection locked="0"/>
    </xf>
    <xf numFmtId="0" fontId="62" fillId="2" borderId="0" xfId="0" applyFont="1" applyFill="1" applyAlignment="1">
      <alignment horizontal="center"/>
    </xf>
    <xf numFmtId="0" fontId="62" fillId="2" borderId="4" xfId="0" applyFont="1" applyFill="1" applyBorder="1" applyAlignment="1">
      <alignment horizontal="center"/>
    </xf>
    <xf numFmtId="0" fontId="36" fillId="2" borderId="10" xfId="1" applyFont="1" applyFill="1" applyBorder="1" applyAlignment="1" applyProtection="1">
      <alignment horizontal="center" vertical="center" wrapText="1"/>
      <protection locked="0"/>
    </xf>
    <xf numFmtId="0" fontId="36" fillId="2" borderId="5" xfId="1" applyFont="1" applyFill="1" applyBorder="1" applyAlignment="1" applyProtection="1">
      <alignment horizontal="center" vertical="center" wrapText="1"/>
      <protection locked="0"/>
    </xf>
    <xf numFmtId="0" fontId="17" fillId="2" borderId="30" xfId="0" applyFont="1" applyFill="1" applyBorder="1" applyAlignment="1" applyProtection="1">
      <alignment horizontal="center" vertical="center" wrapText="1"/>
      <protection locked="0"/>
    </xf>
    <xf numFmtId="0" fontId="17" fillId="2" borderId="31" xfId="0" applyFont="1" applyFill="1" applyBorder="1" applyAlignment="1" applyProtection="1">
      <alignment horizontal="center" vertical="center" wrapText="1"/>
      <protection locked="0"/>
    </xf>
    <xf numFmtId="0" fontId="17" fillId="2" borderId="32" xfId="0" applyFont="1" applyFill="1" applyBorder="1" applyAlignment="1" applyProtection="1">
      <alignment horizontal="center" vertical="center" wrapText="1"/>
      <protection locked="0"/>
    </xf>
    <xf numFmtId="0" fontId="2" fillId="2" borderId="0" xfId="0" applyFont="1" applyFill="1" applyAlignment="1">
      <alignment horizontal="center" vertical="center" wrapText="1"/>
    </xf>
    <xf numFmtId="0" fontId="34" fillId="2" borderId="12" xfId="0" applyFont="1" applyFill="1" applyBorder="1" applyAlignment="1">
      <alignment horizontal="left" vertical="center"/>
    </xf>
    <xf numFmtId="0" fontId="34" fillId="2" borderId="0" xfId="0" applyFont="1" applyFill="1" applyAlignment="1">
      <alignment horizontal="left" vertical="center"/>
    </xf>
  </cellXfs>
  <cellStyles count="8">
    <cellStyle name="%" xfId="5" xr:uid="{CD986C5D-2F38-4D44-B698-8846A45947A0}"/>
    <cellStyle name="Hyperlink" xfId="2" builtinId="8"/>
    <cellStyle name="Normal" xfId="0" builtinId="0"/>
    <cellStyle name="Normal 10" xfId="3" xr:uid="{EF268522-A947-48B9-994A-007F8EA33ADA}"/>
    <cellStyle name="Normal 2" xfId="1" xr:uid="{00000000-0005-0000-0000-000002000000}"/>
    <cellStyle name="Normal 3" xfId="7" xr:uid="{DDA5DDAC-E3F4-412E-8F24-AA8DE1A4FDE1}"/>
    <cellStyle name="Percent 50" xfId="4" xr:uid="{590DDDB9-BBA0-435C-88C4-0025AF4701FA}"/>
    <cellStyle name="Style 1" xfId="6" xr:uid="{D2BE8310-C423-40D5-BD1B-6BC87C024C62}"/>
  </cellStyles>
  <dxfs count="31">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C7CE"/>
        </patternFill>
      </fill>
    </dxf>
    <dxf>
      <font>
        <color theme="1"/>
      </font>
      <fill>
        <patternFill>
          <bgColor rgb="FF92D050"/>
        </patternFill>
      </fill>
    </dxf>
    <dxf>
      <font>
        <color rgb="FF9C0006"/>
      </font>
      <fill>
        <patternFill>
          <bgColor rgb="FFFFC7CE"/>
        </patternFill>
      </fill>
    </dxf>
    <dxf>
      <font>
        <b/>
        <i val="0"/>
        <color auto="1"/>
      </font>
      <fill>
        <patternFill>
          <bgColor rgb="FFFF0000"/>
        </patternFill>
      </fill>
    </dxf>
    <dxf>
      <font>
        <b/>
        <i val="0"/>
        <strike val="0"/>
        <color theme="1"/>
      </font>
      <fill>
        <patternFill>
          <bgColor rgb="FF92D050"/>
        </patternFill>
      </fill>
    </dxf>
    <dxf>
      <font>
        <color auto="1"/>
      </font>
      <fill>
        <patternFill>
          <bgColor rgb="FFFFC7CE"/>
        </patternFill>
      </fill>
    </dxf>
    <dxf>
      <fill>
        <patternFill>
          <bgColor rgb="FFFFC7CE"/>
        </patternFill>
      </fill>
    </dxf>
    <dxf>
      <fill>
        <patternFill>
          <bgColor rgb="FFFFC7CE"/>
        </patternFill>
      </fill>
    </dxf>
    <dxf>
      <font>
        <color theme="0"/>
      </font>
      <fill>
        <patternFill>
          <bgColor rgb="FFFF0000"/>
        </patternFill>
      </fill>
    </dxf>
    <dxf>
      <font>
        <color theme="1"/>
      </font>
      <fill>
        <patternFill>
          <bgColor rgb="FF92D050"/>
        </patternFill>
      </fill>
    </dxf>
    <dxf>
      <font>
        <color auto="1"/>
      </font>
      <fill>
        <patternFill>
          <bgColor rgb="FF92D050"/>
        </patternFill>
      </fill>
    </dxf>
    <dxf>
      <fill>
        <patternFill>
          <bgColor rgb="FFFFC7CE"/>
        </patternFill>
      </fill>
    </dxf>
    <dxf>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FFCC"/>
      <color rgb="FFFFC7C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360456</xdr:colOff>
      <xdr:row>0</xdr:row>
      <xdr:rowOff>34445</xdr:rowOff>
    </xdr:from>
    <xdr:to>
      <xdr:col>0</xdr:col>
      <xdr:colOff>1124200</xdr:colOff>
      <xdr:row>2</xdr:row>
      <xdr:rowOff>231321</xdr:rowOff>
    </xdr:to>
    <xdr:pic>
      <xdr:nvPicPr>
        <xdr:cNvPr id="4" name="Picture 3" descr="logoOrange">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456" y="34445"/>
          <a:ext cx="763744" cy="741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80"/>
  <sheetViews>
    <sheetView showRuler="0" topLeftCell="A58" zoomScale="70" zoomScaleNormal="70" zoomScalePageLayoutView="75" workbookViewId="0">
      <selection activeCell="J77" sqref="J77:Q79"/>
    </sheetView>
  </sheetViews>
  <sheetFormatPr defaultColWidth="9.140625" defaultRowHeight="24" customHeight="1" x14ac:dyDescent="0.2"/>
  <cols>
    <col min="1" max="1" width="21.7109375" style="16" customWidth="1"/>
    <col min="2" max="2" width="24.7109375" style="16" customWidth="1"/>
    <col min="3" max="5" width="7.140625" style="16" customWidth="1"/>
    <col min="6" max="7" width="7.28515625" style="16" customWidth="1"/>
    <col min="8" max="8" width="7.42578125" style="16" customWidth="1"/>
    <col min="9" max="9" width="9.42578125" style="16" customWidth="1"/>
    <col min="10" max="10" width="9.5703125" style="16" customWidth="1"/>
    <col min="11" max="11" width="8.5703125" style="16" customWidth="1"/>
    <col min="12" max="12" width="8.7109375" style="16" customWidth="1"/>
    <col min="13" max="13" width="8.28515625" style="16" customWidth="1"/>
    <col min="14" max="14" width="8.7109375" style="16" customWidth="1"/>
    <col min="15" max="15" width="8.5703125" style="16" customWidth="1"/>
    <col min="16" max="16" width="9.5703125" style="16" customWidth="1"/>
    <col min="17" max="17" width="15.28515625" style="16" customWidth="1"/>
    <col min="18" max="18" width="11.7109375" style="16" customWidth="1"/>
    <col min="19" max="16384" width="9.140625" style="16"/>
  </cols>
  <sheetData>
    <row r="1" spans="1:18" ht="21.75" customHeight="1" x14ac:dyDescent="0.2">
      <c r="A1" s="183" t="s">
        <v>654</v>
      </c>
      <c r="B1" s="201" t="str">
        <f>"Raport Mentenanta Fibra Optica - "&amp;MID(qaf_code,8,4)</f>
        <v>Raport Mentenanta Fibra Optica - BAAB</v>
      </c>
      <c r="C1" s="202"/>
      <c r="D1" s="202"/>
      <c r="E1" s="202"/>
      <c r="F1" s="202"/>
      <c r="G1" s="202"/>
      <c r="H1" s="202"/>
      <c r="I1" s="202"/>
      <c r="J1" s="202"/>
      <c r="K1" s="202"/>
      <c r="L1" s="202"/>
      <c r="M1" s="202"/>
      <c r="N1" s="202"/>
      <c r="O1" s="203"/>
      <c r="P1" s="192" t="s">
        <v>624</v>
      </c>
      <c r="Q1" s="193"/>
      <c r="R1" s="194"/>
    </row>
    <row r="2" spans="1:18" ht="21.75" customHeight="1" x14ac:dyDescent="0.2">
      <c r="A2" s="184"/>
      <c r="B2" s="204"/>
      <c r="C2" s="205"/>
      <c r="D2" s="205"/>
      <c r="E2" s="205"/>
      <c r="F2" s="205"/>
      <c r="G2" s="205"/>
      <c r="H2" s="205"/>
      <c r="I2" s="205"/>
      <c r="J2" s="205"/>
      <c r="K2" s="205"/>
      <c r="L2" s="205"/>
      <c r="M2" s="205"/>
      <c r="N2" s="205"/>
      <c r="O2" s="206"/>
      <c r="P2" s="195"/>
      <c r="Q2" s="196"/>
      <c r="R2" s="197"/>
    </row>
    <row r="3" spans="1:18" ht="21.75" customHeight="1" thickBot="1" x14ac:dyDescent="0.25">
      <c r="A3" s="185"/>
      <c r="B3" s="207"/>
      <c r="C3" s="208"/>
      <c r="D3" s="208"/>
      <c r="E3" s="208"/>
      <c r="F3" s="208"/>
      <c r="G3" s="208"/>
      <c r="H3" s="208"/>
      <c r="I3" s="208"/>
      <c r="J3" s="208"/>
      <c r="K3" s="208"/>
      <c r="L3" s="208"/>
      <c r="M3" s="208"/>
      <c r="N3" s="208"/>
      <c r="O3" s="209"/>
      <c r="P3" s="198"/>
      <c r="Q3" s="199"/>
      <c r="R3" s="200"/>
    </row>
    <row r="4" spans="1:18" ht="11.25" customHeight="1" x14ac:dyDescent="0.3">
      <c r="A4" s="18"/>
      <c r="B4" s="19"/>
      <c r="C4" s="19"/>
      <c r="D4" s="19"/>
      <c r="E4" s="19"/>
      <c r="F4" s="19"/>
      <c r="G4" s="20"/>
      <c r="H4" s="20"/>
      <c r="I4" s="20"/>
      <c r="J4" s="20"/>
      <c r="K4" s="20"/>
      <c r="L4" s="20"/>
      <c r="M4" s="20"/>
      <c r="N4" s="20"/>
      <c r="O4" s="20"/>
      <c r="P4" s="20"/>
      <c r="Q4" s="20"/>
      <c r="R4" s="21"/>
    </row>
    <row r="5" spans="1:18" ht="23.25" customHeight="1" x14ac:dyDescent="0.35">
      <c r="A5" s="22" t="s">
        <v>20</v>
      </c>
      <c r="B5" s="6"/>
      <c r="C5" s="1" t="s">
        <v>0</v>
      </c>
      <c r="D5" s="186"/>
      <c r="E5" s="186"/>
      <c r="F5" s="2"/>
      <c r="J5" s="1" t="s">
        <v>1</v>
      </c>
      <c r="K5" s="187"/>
      <c r="L5" s="188"/>
      <c r="R5" s="37"/>
    </row>
    <row r="6" spans="1:18" ht="8.25" customHeight="1" x14ac:dyDescent="0.3">
      <c r="A6" s="24"/>
      <c r="B6" s="101"/>
      <c r="C6" s="101"/>
      <c r="D6" s="7" t="str">
        <f>MID(D5,1,2)</f>
        <v/>
      </c>
      <c r="E6" s="7" t="str">
        <f>MID(D5,3,4)</f>
        <v/>
      </c>
      <c r="F6" s="101"/>
      <c r="K6" s="7" t="str">
        <f>MID(K5,1,2)</f>
        <v/>
      </c>
      <c r="R6" s="37"/>
    </row>
    <row r="7" spans="1:18" ht="23.25" customHeight="1" x14ac:dyDescent="0.2">
      <c r="A7" s="210" t="s">
        <v>13</v>
      </c>
      <c r="B7" s="211"/>
      <c r="C7" s="211"/>
      <c r="D7" s="212"/>
      <c r="E7" s="212"/>
      <c r="F7" s="212"/>
      <c r="G7" s="212"/>
      <c r="H7" s="212"/>
      <c r="I7" s="212"/>
      <c r="J7" s="212"/>
      <c r="K7" s="212"/>
      <c r="L7" s="212"/>
      <c r="M7" s="212"/>
      <c r="N7" s="212"/>
      <c r="O7" s="3"/>
      <c r="P7" s="127">
        <f>COUNTA(site_code_A,topologie_tronson,cable_cap,Tip,execute_contractor)</f>
        <v>1</v>
      </c>
      <c r="R7" s="61"/>
    </row>
    <row r="8" spans="1:18" ht="8.25" customHeight="1" x14ac:dyDescent="0.2">
      <c r="A8" s="124"/>
      <c r="B8" s="125"/>
      <c r="C8" s="125"/>
      <c r="D8" s="53"/>
      <c r="E8" s="53"/>
      <c r="F8" s="53"/>
      <c r="G8" s="53"/>
      <c r="H8" s="53"/>
      <c r="I8" s="53"/>
      <c r="J8" s="53"/>
      <c r="K8" s="53"/>
      <c r="L8" s="53"/>
      <c r="M8" s="53"/>
      <c r="N8" s="53"/>
      <c r="O8" s="3"/>
      <c r="P8" s="44"/>
      <c r="R8" s="61"/>
    </row>
    <row r="9" spans="1:18" ht="23.25" customHeight="1" x14ac:dyDescent="0.2">
      <c r="A9" s="210" t="s">
        <v>14</v>
      </c>
      <c r="B9" s="211"/>
      <c r="C9" s="211"/>
      <c r="D9" s="213"/>
      <c r="E9" s="213"/>
      <c r="F9" s="213"/>
      <c r="G9" s="54"/>
      <c r="H9" s="54"/>
      <c r="J9" s="65" t="s">
        <v>6</v>
      </c>
      <c r="K9" s="189" t="s">
        <v>652</v>
      </c>
      <c r="L9" s="190"/>
      <c r="M9" s="190"/>
      <c r="N9" s="190"/>
      <c r="O9" s="190"/>
      <c r="P9" s="191"/>
      <c r="R9" s="61"/>
    </row>
    <row r="10" spans="1:18" ht="8.25" customHeight="1" x14ac:dyDescent="0.3">
      <c r="A10" s="24"/>
      <c r="B10" s="101"/>
      <c r="C10" s="101"/>
      <c r="D10" s="7"/>
      <c r="E10" s="7"/>
      <c r="F10" s="101"/>
      <c r="G10" s="101"/>
      <c r="H10" s="101"/>
      <c r="R10" s="61"/>
    </row>
    <row r="11" spans="1:18" ht="26.25" customHeight="1" x14ac:dyDescent="0.3">
      <c r="A11" s="36"/>
      <c r="B11" s="5"/>
      <c r="C11" s="58" t="s">
        <v>4</v>
      </c>
      <c r="D11" s="129"/>
      <c r="E11" s="50" t="s">
        <v>5</v>
      </c>
      <c r="G11" s="48"/>
      <c r="H11" s="66" t="s">
        <v>12</v>
      </c>
      <c r="I11" s="214"/>
      <c r="J11" s="215"/>
      <c r="K11" s="219" t="str">
        <f>IF(P7=0,"",IF(P7&lt;&gt;5,"Completeaza campurile obligatorii din aceasta sectiune",""))</f>
        <v>Completeaza campurile obligatorii din aceasta sectiune</v>
      </c>
      <c r="L11" s="219"/>
      <c r="M11" s="219"/>
      <c r="N11" s="219"/>
      <c r="O11" s="219"/>
      <c r="P11" s="219"/>
      <c r="Q11" s="219"/>
      <c r="R11" s="220"/>
    </row>
    <row r="12" spans="1:18" ht="8.25" customHeight="1" thickBot="1" x14ac:dyDescent="0.25">
      <c r="A12" s="25"/>
      <c r="B12" s="130"/>
      <c r="C12" s="130"/>
      <c r="D12" s="26"/>
      <c r="E12" s="27"/>
      <c r="F12" s="27"/>
      <c r="G12" s="27"/>
      <c r="H12" s="27"/>
      <c r="I12" s="27"/>
      <c r="J12" s="27"/>
      <c r="K12" s="27"/>
      <c r="L12" s="27"/>
      <c r="M12" s="28"/>
      <c r="N12" s="27"/>
      <c r="O12" s="28"/>
      <c r="P12" s="131"/>
      <c r="Q12" s="131"/>
      <c r="R12" s="38"/>
    </row>
    <row r="13" spans="1:18" ht="23.25" customHeight="1" x14ac:dyDescent="0.35">
      <c r="A13" s="85" t="s">
        <v>19</v>
      </c>
      <c r="B13" s="30"/>
      <c r="C13" s="30"/>
      <c r="D13" s="31"/>
      <c r="E13" s="32"/>
      <c r="F13" s="221" t="s">
        <v>65</v>
      </c>
      <c r="G13" s="221"/>
      <c r="H13" s="221" t="s">
        <v>66</v>
      </c>
      <c r="I13" s="221"/>
      <c r="J13" s="221"/>
      <c r="K13" s="32"/>
      <c r="L13" s="32"/>
      <c r="M13" s="33"/>
      <c r="N13" s="32"/>
      <c r="O13" s="34"/>
      <c r="P13" s="34" t="s">
        <v>117</v>
      </c>
      <c r="Q13" s="34" t="s">
        <v>118</v>
      </c>
      <c r="R13" s="63"/>
    </row>
    <row r="14" spans="1:18" ht="23.25" customHeight="1" x14ac:dyDescent="0.2">
      <c r="A14" s="51"/>
      <c r="C14" s="58" t="s">
        <v>15</v>
      </c>
      <c r="D14" s="229"/>
      <c r="E14" s="230"/>
      <c r="F14" s="251"/>
      <c r="G14" s="252"/>
      <c r="H14" s="251"/>
      <c r="I14" s="253"/>
      <c r="J14" s="252"/>
      <c r="M14" s="3"/>
      <c r="O14" s="57" t="s">
        <v>44</v>
      </c>
      <c r="P14" s="102"/>
      <c r="Q14" s="102"/>
      <c r="R14" s="49"/>
    </row>
    <row r="15" spans="1:18" ht="23.25" customHeight="1" x14ac:dyDescent="0.2">
      <c r="A15" s="51"/>
      <c r="C15" s="58" t="s">
        <v>16</v>
      </c>
      <c r="D15" s="216"/>
      <c r="E15" s="216"/>
      <c r="M15" s="3"/>
      <c r="O15" s="57" t="s">
        <v>45</v>
      </c>
      <c r="P15" s="89"/>
      <c r="Q15" s="89"/>
      <c r="R15" s="67" t="s">
        <v>62</v>
      </c>
    </row>
    <row r="16" spans="1:18" ht="24" customHeight="1" x14ac:dyDescent="0.2">
      <c r="A16" s="51"/>
      <c r="C16" s="58" t="s">
        <v>385</v>
      </c>
      <c r="D16" s="236"/>
      <c r="E16" s="237"/>
      <c r="F16" s="237"/>
      <c r="G16" s="237"/>
      <c r="H16" s="237"/>
      <c r="I16" s="238"/>
      <c r="M16" s="3"/>
      <c r="R16" s="67"/>
    </row>
    <row r="17" spans="1:18" ht="23.25" customHeight="1" x14ac:dyDescent="0.2">
      <c r="A17" s="51"/>
      <c r="B17" s="3"/>
      <c r="C17" s="44" t="s">
        <v>9</v>
      </c>
      <c r="D17" s="44" t="s">
        <v>10</v>
      </c>
      <c r="E17" s="44" t="s">
        <v>11</v>
      </c>
      <c r="F17" s="43"/>
      <c r="G17" s="222" t="s">
        <v>37</v>
      </c>
      <c r="H17" s="222"/>
      <c r="I17" s="100">
        <f ca="1">YEAR(TODAY())</f>
        <v>2026</v>
      </c>
      <c r="J17" s="127">
        <f>COUNTA(Tip_interv,EVR,Plecare,Cauza,C34,E34,site_code_A)</f>
        <v>1</v>
      </c>
      <c r="M17" s="3"/>
      <c r="O17" s="42"/>
      <c r="P17" s="42"/>
      <c r="Q17" s="42"/>
      <c r="R17" s="49"/>
    </row>
    <row r="18" spans="1:18" ht="23.25" customHeight="1" x14ac:dyDescent="0.2">
      <c r="A18" s="51"/>
      <c r="B18" s="58" t="s">
        <v>17</v>
      </c>
      <c r="C18" s="68"/>
      <c r="D18" s="68"/>
      <c r="E18" s="68"/>
      <c r="F18" s="56" t="str">
        <f>CONCATENATE(IF(C18&lt;10,"0"&amp;C18,C18),"/",IF(D18&lt;10,"0"&amp;D18,D18),"/",E18)</f>
        <v>0/0/</v>
      </c>
      <c r="G18" s="217"/>
      <c r="H18" s="218"/>
      <c r="K18" s="128"/>
      <c r="L18" s="128"/>
      <c r="M18" s="128"/>
      <c r="N18" s="128"/>
      <c r="O18" s="128"/>
      <c r="P18" s="223" t="str">
        <f>IF(J17=0,"",IF(J17&lt;&gt;7,"Celulele portocalii din aceasta sectiune sunt obligatorii !!! 
Celelalte se vor completa in functie de necesitati.",""))</f>
        <v>Celulele portocalii din aceasta sectiune sunt obligatorii !!! 
Celelalte se vor completa in functie de necesitati.</v>
      </c>
      <c r="Q18" s="223"/>
      <c r="R18" s="49"/>
    </row>
    <row r="19" spans="1:18" ht="23.25" customHeight="1" x14ac:dyDescent="0.2">
      <c r="A19" s="51"/>
      <c r="B19" s="58" t="s">
        <v>383</v>
      </c>
      <c r="C19" s="68"/>
      <c r="D19" s="68"/>
      <c r="E19" s="68"/>
      <c r="F19" s="56" t="str">
        <f t="shared" ref="F19:F21" si="0">CONCATENATE(IF(C19&lt;10,"0"&amp;C19,C19),"/",IF(D19&lt;10,"0"&amp;D19,D19),"/",E19)</f>
        <v>0/0/</v>
      </c>
      <c r="G19" s="217"/>
      <c r="H19" s="218"/>
      <c r="K19" s="128"/>
      <c r="L19" s="128"/>
      <c r="M19" s="128"/>
      <c r="N19" s="128"/>
      <c r="O19" s="128"/>
      <c r="P19" s="223"/>
      <c r="Q19" s="223"/>
      <c r="R19" s="49"/>
    </row>
    <row r="20" spans="1:18" ht="23.25" customHeight="1" x14ac:dyDescent="0.2">
      <c r="A20" s="51"/>
      <c r="B20" s="58" t="s">
        <v>384</v>
      </c>
      <c r="C20" s="68"/>
      <c r="D20" s="68"/>
      <c r="E20" s="68"/>
      <c r="F20" s="56" t="str">
        <f t="shared" si="0"/>
        <v>0/0/</v>
      </c>
      <c r="G20" s="217"/>
      <c r="H20" s="218"/>
      <c r="K20" s="128"/>
      <c r="L20" s="128"/>
      <c r="M20" s="128"/>
      <c r="N20" s="128"/>
      <c r="O20" s="128"/>
      <c r="P20" s="223"/>
      <c r="Q20" s="223"/>
      <c r="R20" s="49"/>
    </row>
    <row r="21" spans="1:18" ht="23.25" customHeight="1" x14ac:dyDescent="0.2">
      <c r="A21" s="51"/>
      <c r="B21" s="58" t="s">
        <v>18</v>
      </c>
      <c r="C21" s="68"/>
      <c r="D21" s="68"/>
      <c r="E21" s="68"/>
      <c r="F21" s="56" t="str">
        <f t="shared" si="0"/>
        <v>0/0/</v>
      </c>
      <c r="G21" s="217"/>
      <c r="H21" s="218"/>
      <c r="P21" s="223"/>
      <c r="Q21" s="223"/>
      <c r="R21" s="49"/>
    </row>
    <row r="22" spans="1:18" ht="8.25" customHeight="1" x14ac:dyDescent="0.2">
      <c r="A22" s="51"/>
      <c r="B22" s="6"/>
      <c r="C22" s="6"/>
      <c r="D22" s="52"/>
      <c r="M22" s="3"/>
      <c r="O22" s="42"/>
      <c r="P22" s="223"/>
      <c r="Q22" s="223"/>
      <c r="R22" s="49"/>
    </row>
    <row r="23" spans="1:18" ht="23.25" customHeight="1" x14ac:dyDescent="0.2">
      <c r="A23" s="51"/>
      <c r="B23" s="58" t="s">
        <v>21</v>
      </c>
      <c r="C23" s="254" t="s">
        <v>30</v>
      </c>
      <c r="D23" s="254"/>
      <c r="E23" s="254"/>
      <c r="F23" s="254"/>
      <c r="G23" s="254"/>
      <c r="H23" s="254"/>
      <c r="I23" s="254"/>
      <c r="J23" s="254"/>
      <c r="K23" s="254"/>
      <c r="M23" s="3"/>
      <c r="O23" s="42"/>
      <c r="P23" s="223"/>
      <c r="Q23" s="223"/>
      <c r="R23" s="49"/>
    </row>
    <row r="24" spans="1:18" ht="8.25" customHeight="1" x14ac:dyDescent="0.2">
      <c r="A24" s="51"/>
      <c r="B24" s="58"/>
      <c r="O24" s="42"/>
      <c r="P24" s="223"/>
      <c r="Q24" s="223"/>
      <c r="R24" s="49"/>
    </row>
    <row r="25" spans="1:18" ht="23.25" customHeight="1" x14ac:dyDescent="0.2">
      <c r="A25" s="51"/>
      <c r="C25" s="239"/>
      <c r="D25" s="240"/>
      <c r="E25" s="240"/>
      <c r="F25" s="240"/>
      <c r="G25" s="240"/>
      <c r="H25" s="240"/>
      <c r="I25" s="240"/>
      <c r="J25" s="240"/>
      <c r="K25" s="240"/>
      <c r="L25" s="240"/>
      <c r="M25" s="240"/>
      <c r="N25" s="241"/>
      <c r="O25" s="42"/>
      <c r="P25" s="223"/>
      <c r="Q25" s="223"/>
      <c r="R25" s="49"/>
    </row>
    <row r="26" spans="1:18" ht="23.25" customHeight="1" x14ac:dyDescent="0.2">
      <c r="A26" s="51"/>
      <c r="B26" s="58" t="s">
        <v>22</v>
      </c>
      <c r="C26" s="242"/>
      <c r="D26" s="178"/>
      <c r="E26" s="178"/>
      <c r="F26" s="178"/>
      <c r="G26" s="178"/>
      <c r="H26" s="178"/>
      <c r="I26" s="178"/>
      <c r="J26" s="178"/>
      <c r="K26" s="178"/>
      <c r="L26" s="178"/>
      <c r="M26" s="178"/>
      <c r="N26" s="243"/>
      <c r="O26" s="42"/>
      <c r="P26" s="223"/>
      <c r="Q26" s="223"/>
      <c r="R26" s="49"/>
    </row>
    <row r="27" spans="1:18" ht="23.25" customHeight="1" x14ac:dyDescent="0.2">
      <c r="A27" s="51"/>
      <c r="B27" s="6"/>
      <c r="C27" s="244"/>
      <c r="D27" s="245"/>
      <c r="E27" s="245"/>
      <c r="F27" s="245"/>
      <c r="G27" s="245"/>
      <c r="H27" s="245"/>
      <c r="I27" s="245"/>
      <c r="J27" s="245"/>
      <c r="K27" s="245"/>
      <c r="L27" s="245"/>
      <c r="M27" s="245"/>
      <c r="N27" s="246"/>
      <c r="O27" s="42"/>
      <c r="P27" s="223"/>
      <c r="Q27" s="223"/>
      <c r="R27" s="49"/>
    </row>
    <row r="28" spans="1:18" ht="8.25" customHeight="1" x14ac:dyDescent="0.2">
      <c r="A28" s="51"/>
      <c r="B28" s="6"/>
      <c r="C28" s="6"/>
      <c r="D28" s="52"/>
      <c r="M28" s="3"/>
      <c r="O28" s="42"/>
      <c r="P28" s="223"/>
      <c r="Q28" s="223"/>
      <c r="R28" s="49"/>
    </row>
    <row r="29" spans="1:18" ht="23.25" customHeight="1" x14ac:dyDescent="0.2">
      <c r="A29" s="51"/>
      <c r="C29" s="239"/>
      <c r="D29" s="240"/>
      <c r="E29" s="240"/>
      <c r="F29" s="240"/>
      <c r="G29" s="240"/>
      <c r="H29" s="240"/>
      <c r="I29" s="240"/>
      <c r="J29" s="240"/>
      <c r="K29" s="240"/>
      <c r="L29" s="240"/>
      <c r="M29" s="240"/>
      <c r="N29" s="241"/>
      <c r="O29" s="42"/>
      <c r="P29" s="223"/>
      <c r="Q29" s="223"/>
      <c r="R29" s="49"/>
    </row>
    <row r="30" spans="1:18" ht="23.25" customHeight="1" x14ac:dyDescent="0.2">
      <c r="A30" s="51"/>
      <c r="B30" s="58" t="s">
        <v>46</v>
      </c>
      <c r="C30" s="242"/>
      <c r="D30" s="178"/>
      <c r="E30" s="178"/>
      <c r="F30" s="178"/>
      <c r="G30" s="178"/>
      <c r="H30" s="178"/>
      <c r="I30" s="178"/>
      <c r="J30" s="178"/>
      <c r="K30" s="178"/>
      <c r="L30" s="178"/>
      <c r="M30" s="178"/>
      <c r="N30" s="243"/>
      <c r="O30" s="42"/>
      <c r="P30" s="132"/>
      <c r="Q30" s="132"/>
      <c r="R30" s="49"/>
    </row>
    <row r="31" spans="1:18" ht="23.25" customHeight="1" x14ac:dyDescent="0.2">
      <c r="A31" s="51"/>
      <c r="B31" s="6"/>
      <c r="C31" s="244"/>
      <c r="D31" s="245"/>
      <c r="E31" s="245"/>
      <c r="F31" s="245"/>
      <c r="G31" s="245"/>
      <c r="H31" s="245"/>
      <c r="I31" s="245"/>
      <c r="J31" s="245"/>
      <c r="K31" s="245"/>
      <c r="L31" s="245"/>
      <c r="M31" s="245"/>
      <c r="N31" s="246"/>
      <c r="O31" s="42"/>
      <c r="P31" s="132"/>
      <c r="Q31" s="132"/>
      <c r="R31" s="49"/>
    </row>
    <row r="32" spans="1:18" ht="8.25" customHeight="1" thickBot="1" x14ac:dyDescent="0.25">
      <c r="A32" s="51"/>
      <c r="B32" s="6"/>
      <c r="C32" s="6"/>
      <c r="D32" s="52"/>
      <c r="M32" s="3"/>
      <c r="O32" s="42"/>
      <c r="P32" s="42"/>
      <c r="Q32" s="42"/>
      <c r="R32" s="49"/>
    </row>
    <row r="33" spans="1:18" ht="20.25" customHeight="1" x14ac:dyDescent="0.25">
      <c r="A33" s="51"/>
      <c r="C33" s="168" t="s">
        <v>49</v>
      </c>
      <c r="D33" s="168"/>
      <c r="E33" s="168" t="s">
        <v>50</v>
      </c>
      <c r="F33" s="168"/>
      <c r="K33" s="71" t="s">
        <v>57</v>
      </c>
      <c r="L33" s="32"/>
      <c r="M33" s="32"/>
      <c r="N33" s="32"/>
      <c r="O33" s="32"/>
      <c r="P33" s="32"/>
      <c r="Q33" s="32"/>
      <c r="R33" s="70"/>
    </row>
    <row r="34" spans="1:18" ht="20.25" customHeight="1" x14ac:dyDescent="0.2">
      <c r="A34" s="51"/>
      <c r="B34" s="57" t="s">
        <v>55</v>
      </c>
      <c r="C34" s="166"/>
      <c r="D34" s="167"/>
      <c r="E34" s="166"/>
      <c r="F34" s="167"/>
      <c r="G34" s="263"/>
      <c r="H34" s="264"/>
      <c r="I34" s="264"/>
      <c r="J34" s="264"/>
      <c r="K34" s="36" t="s">
        <v>619</v>
      </c>
      <c r="R34" s="37"/>
    </row>
    <row r="35" spans="1:18" ht="20.25" customHeight="1" x14ac:dyDescent="0.2">
      <c r="A35" s="51"/>
      <c r="B35" s="57" t="s">
        <v>54</v>
      </c>
      <c r="C35" s="163" t="str">
        <f>IF(AND(ISBLANK(C34),ISBLANK(E34)),"",IF('Nu sterge'!W1="LAT ok, LONG ok",HYPERLINK(CONCATENATE("http://maps.google.com/maps?q=",'Nu sterge'!V1)),'Nu sterge'!W1))</f>
        <v/>
      </c>
      <c r="D35" s="164"/>
      <c r="E35" s="164"/>
      <c r="F35" s="164"/>
      <c r="G35" s="164"/>
      <c r="H35" s="164"/>
      <c r="I35" s="165"/>
      <c r="K35" s="36" t="s">
        <v>620</v>
      </c>
      <c r="R35" s="37"/>
    </row>
    <row r="36" spans="1:18" ht="20.25" x14ac:dyDescent="0.2">
      <c r="A36" s="51"/>
      <c r="B36" s="57"/>
      <c r="C36" s="57"/>
      <c r="D36" s="57"/>
      <c r="E36" s="57"/>
      <c r="F36" s="57"/>
      <c r="G36" s="57"/>
      <c r="H36" s="57"/>
      <c r="I36" s="57"/>
      <c r="K36" s="36"/>
      <c r="L36" s="123" t="s">
        <v>51</v>
      </c>
      <c r="M36" s="123" t="s">
        <v>52</v>
      </c>
      <c r="N36" s="123" t="s">
        <v>53</v>
      </c>
      <c r="R36" s="90" t="s">
        <v>116</v>
      </c>
    </row>
    <row r="37" spans="1:18" ht="20.25" customHeight="1" x14ac:dyDescent="0.2">
      <c r="A37" s="51"/>
      <c r="C37" s="168" t="s">
        <v>49</v>
      </c>
      <c r="D37" s="168"/>
      <c r="E37" s="168" t="s">
        <v>50</v>
      </c>
      <c r="F37" s="168"/>
      <c r="K37" s="69" t="s">
        <v>49</v>
      </c>
      <c r="L37" s="122">
        <v>46</v>
      </c>
      <c r="M37" s="122">
        <v>14</v>
      </c>
      <c r="N37" s="122">
        <v>16.27</v>
      </c>
      <c r="O37" s="160">
        <f>VALUE(LEFT(L37+VALUE(M37/60)+VALUE(N37/3600),9))</f>
        <v>46.237851999999997</v>
      </c>
      <c r="P37" s="160"/>
      <c r="Q37" s="86" t="str">
        <f>L37&amp;"⁰ "&amp;M37&amp;"' "&amp;N37&amp;""""</f>
        <v>46⁰ 14' 16.27"</v>
      </c>
      <c r="R37" s="91">
        <f>O37</f>
        <v>46.237851999999997</v>
      </c>
    </row>
    <row r="38" spans="1:18" ht="20.25" customHeight="1" x14ac:dyDescent="0.2">
      <c r="A38" s="51"/>
      <c r="B38" s="57" t="s">
        <v>56</v>
      </c>
      <c r="C38" s="166"/>
      <c r="D38" s="167"/>
      <c r="E38" s="166"/>
      <c r="F38" s="167"/>
      <c r="G38" s="263"/>
      <c r="H38" s="264"/>
      <c r="I38" s="264"/>
      <c r="J38" s="264"/>
      <c r="K38" s="69" t="s">
        <v>50</v>
      </c>
      <c r="L38" s="122">
        <v>27</v>
      </c>
      <c r="M38" s="122">
        <v>37</v>
      </c>
      <c r="N38" s="122">
        <v>53.21</v>
      </c>
      <c r="O38" s="160">
        <f>VALUE(LEFT(L38+VALUE(M38/60)+VALUE(N38/3600),9))</f>
        <v>27.631447000000001</v>
      </c>
      <c r="P38" s="160"/>
      <c r="Q38" s="86" t="str">
        <f>L38&amp;"⁰ "&amp;M38&amp;"' "&amp;N38&amp;""""</f>
        <v>27⁰ 37' 53.21"</v>
      </c>
      <c r="R38" s="91">
        <f>O38</f>
        <v>27.631447000000001</v>
      </c>
    </row>
    <row r="39" spans="1:18" ht="20.25" customHeight="1" thickBot="1" x14ac:dyDescent="0.25">
      <c r="A39" s="51"/>
      <c r="B39" s="57" t="s">
        <v>54</v>
      </c>
      <c r="C39" s="163" t="str">
        <f>IF(AND(ISBLANK(C38),ISBLANK(E38)),"",IF('Nu sterge'!W4="LAT ok, LONG ok",HYPERLINK(CONCATENATE("http://maps.google.com/maps?q=",'Nu sterge'!V4)),'Nu sterge'!W4))</f>
        <v/>
      </c>
      <c r="D39" s="164"/>
      <c r="E39" s="164"/>
      <c r="F39" s="164"/>
      <c r="G39" s="164"/>
      <c r="H39" s="164"/>
      <c r="I39" s="165"/>
      <c r="K39" s="35"/>
      <c r="L39" s="27"/>
      <c r="M39" s="27"/>
      <c r="N39" s="27"/>
      <c r="O39" s="29"/>
      <c r="P39" s="29"/>
      <c r="Q39" s="27"/>
      <c r="R39" s="38"/>
    </row>
    <row r="40" spans="1:18" ht="28.5" customHeight="1" x14ac:dyDescent="0.2">
      <c r="A40" s="47" t="s">
        <v>23</v>
      </c>
      <c r="B40" s="6"/>
      <c r="C40" s="6"/>
      <c r="D40" s="52"/>
      <c r="G40" s="16" t="s">
        <v>285</v>
      </c>
      <c r="L40" s="134" t="s">
        <v>255</v>
      </c>
      <c r="M40" s="231" t="s">
        <v>39</v>
      </c>
      <c r="N40" s="231"/>
      <c r="O40" s="135" t="s">
        <v>47</v>
      </c>
      <c r="P40" s="135" t="s">
        <v>396</v>
      </c>
      <c r="Q40" s="135" t="s">
        <v>47</v>
      </c>
      <c r="R40" s="136" t="s">
        <v>397</v>
      </c>
    </row>
    <row r="41" spans="1:18" ht="20.25" x14ac:dyDescent="0.2">
      <c r="A41" s="51"/>
      <c r="B41" s="57" t="s">
        <v>289</v>
      </c>
      <c r="C41" s="166"/>
      <c r="D41" s="167"/>
      <c r="E41" s="166"/>
      <c r="F41" s="167"/>
      <c r="G41" s="163" t="str">
        <f>IF(AND(ISBLANK(C41),ISBLANK(E41)),"",IF('Nu sterge'!W7="LAT ok, LONG ok",HYPERLINK(CONCATENATE("http://maps.google.com/maps?q=",'Nu sterge'!V7)),'Nu sterge'!W7))</f>
        <v/>
      </c>
      <c r="H41" s="164"/>
      <c r="I41" s="164"/>
      <c r="J41" s="164"/>
      <c r="K41" s="165"/>
      <c r="L41" s="122"/>
      <c r="M41" s="161"/>
      <c r="N41" s="162"/>
      <c r="O41" s="122"/>
      <c r="P41" s="122"/>
      <c r="Q41" s="122"/>
      <c r="R41" s="82"/>
    </row>
    <row r="42" spans="1:18" ht="20.25" x14ac:dyDescent="0.2">
      <c r="A42" s="51"/>
      <c r="B42" s="57" t="s">
        <v>290</v>
      </c>
      <c r="C42" s="166"/>
      <c r="D42" s="167"/>
      <c r="E42" s="166"/>
      <c r="F42" s="167"/>
      <c r="G42" s="163" t="str">
        <f>IF(AND(ISBLANK(C42),ISBLANK(E42)),"",IF('Nu sterge'!W10="LAT ok, LONG ok",HYPERLINK(CONCATENATE("http://maps.google.com/maps?q=",'Nu sterge'!V10)),'Nu sterge'!W10))</f>
        <v/>
      </c>
      <c r="H42" s="164"/>
      <c r="I42" s="164"/>
      <c r="J42" s="164"/>
      <c r="K42" s="165"/>
      <c r="L42" s="122"/>
      <c r="M42" s="161"/>
      <c r="N42" s="162"/>
      <c r="O42" s="122"/>
      <c r="P42" s="122"/>
      <c r="Q42" s="122"/>
      <c r="R42" s="82"/>
    </row>
    <row r="43" spans="1:18" ht="20.25" customHeight="1" x14ac:dyDescent="0.2">
      <c r="A43" s="51"/>
      <c r="B43" s="57" t="s">
        <v>291</v>
      </c>
      <c r="C43" s="166"/>
      <c r="D43" s="167"/>
      <c r="E43" s="166"/>
      <c r="F43" s="167"/>
      <c r="G43" s="163" t="str">
        <f>IF(AND(ISBLANK(C43),ISBLANK(E43)),"",IF('Nu sterge'!W13="LAT ok, LONG ok",HYPERLINK(CONCATENATE("http://maps.google.com/maps?q=",'Nu sterge'!V13)),'Nu sterge'!W13))</f>
        <v/>
      </c>
      <c r="H43" s="164"/>
      <c r="I43" s="164"/>
      <c r="J43" s="164"/>
      <c r="K43" s="165"/>
      <c r="L43" s="122"/>
      <c r="M43" s="161"/>
      <c r="N43" s="162"/>
      <c r="O43" s="122"/>
      <c r="P43" s="122"/>
      <c r="Q43" s="122"/>
      <c r="R43" s="82"/>
    </row>
    <row r="44" spans="1:18" ht="20.25" x14ac:dyDescent="0.2">
      <c r="A44" s="51"/>
      <c r="B44" s="57" t="s">
        <v>292</v>
      </c>
      <c r="C44" s="166"/>
      <c r="D44" s="167"/>
      <c r="E44" s="166"/>
      <c r="F44" s="167"/>
      <c r="G44" s="163" t="str">
        <f>IF(AND(ISBLANK(C44),ISBLANK(E44)),"",IF('Nu sterge'!W16="LAT ok, LONG ok",HYPERLINK(CONCATENATE("http://maps.google.com/maps?q=",'Nu sterge'!V16)),'Nu sterge'!W16))</f>
        <v/>
      </c>
      <c r="H44" s="164"/>
      <c r="I44" s="164"/>
      <c r="J44" s="164"/>
      <c r="K44" s="165"/>
      <c r="L44" s="122"/>
      <c r="M44" s="161"/>
      <c r="N44" s="162"/>
      <c r="O44" s="122"/>
      <c r="P44" s="122"/>
      <c r="Q44" s="122"/>
      <c r="R44" s="82"/>
    </row>
    <row r="45" spans="1:18" ht="8.25" customHeight="1" x14ac:dyDescent="0.2">
      <c r="A45" s="51"/>
      <c r="B45" s="64"/>
      <c r="C45" s="64"/>
      <c r="D45" s="64"/>
      <c r="E45" s="64"/>
      <c r="F45" s="64"/>
      <c r="G45" s="64"/>
      <c r="H45" s="64"/>
      <c r="I45" s="64"/>
      <c r="J45" s="64"/>
      <c r="K45" s="64"/>
      <c r="L45" s="64"/>
      <c r="M45" s="64"/>
      <c r="N45" s="64"/>
      <c r="O45" s="64"/>
      <c r="P45" s="64"/>
      <c r="Q45" s="64"/>
      <c r="R45" s="49"/>
    </row>
    <row r="46" spans="1:18" ht="20.25" x14ac:dyDescent="0.2">
      <c r="A46" s="51"/>
      <c r="B46" s="57" t="s">
        <v>288</v>
      </c>
      <c r="C46" s="169"/>
      <c r="D46" s="169"/>
      <c r="E46" s="169"/>
      <c r="F46" s="169"/>
      <c r="G46" s="169"/>
      <c r="H46" s="169"/>
      <c r="I46" s="169"/>
      <c r="J46" s="169"/>
      <c r="K46" s="169"/>
      <c r="L46" s="64"/>
      <c r="M46" s="64"/>
      <c r="N46" s="64"/>
      <c r="O46" s="64"/>
      <c r="P46" s="64"/>
      <c r="Q46" s="64"/>
      <c r="R46" s="49"/>
    </row>
    <row r="47" spans="1:18" ht="20.25" x14ac:dyDescent="0.2">
      <c r="A47" s="51"/>
      <c r="B47" s="57" t="s">
        <v>293</v>
      </c>
      <c r="C47" s="169"/>
      <c r="D47" s="169"/>
      <c r="E47" s="169"/>
      <c r="F47" s="169"/>
      <c r="G47" s="169"/>
      <c r="H47" s="169"/>
      <c r="I47" s="169"/>
      <c r="J47" s="169"/>
      <c r="K47" s="169"/>
      <c r="L47" s="64"/>
      <c r="M47" s="64"/>
      <c r="N47" s="64"/>
      <c r="O47" s="64"/>
      <c r="P47" s="64"/>
      <c r="Q47" s="64"/>
      <c r="R47" s="49"/>
    </row>
    <row r="48" spans="1:18" ht="20.25" x14ac:dyDescent="0.2">
      <c r="A48" s="51"/>
      <c r="B48" s="57" t="s">
        <v>294</v>
      </c>
      <c r="C48" s="169"/>
      <c r="D48" s="169"/>
      <c r="E48" s="169"/>
      <c r="F48" s="169"/>
      <c r="G48" s="169"/>
      <c r="H48" s="169"/>
      <c r="I48" s="169"/>
      <c r="J48" s="169"/>
      <c r="K48" s="169"/>
      <c r="L48" s="64"/>
      <c r="M48" s="103"/>
      <c r="N48" s="103"/>
      <c r="O48" s="103"/>
      <c r="P48" s="103"/>
      <c r="Q48" s="103"/>
      <c r="R48" s="23"/>
    </row>
    <row r="49" spans="1:18" ht="20.25" x14ac:dyDescent="0.2">
      <c r="A49" s="51"/>
      <c r="B49" s="57" t="s">
        <v>295</v>
      </c>
      <c r="C49" s="169"/>
      <c r="D49" s="169"/>
      <c r="E49" s="169"/>
      <c r="F49" s="169"/>
      <c r="G49" s="169"/>
      <c r="H49" s="169"/>
      <c r="I49" s="169"/>
      <c r="J49" s="169"/>
      <c r="K49" s="169"/>
      <c r="L49" s="64"/>
      <c r="M49" s="103"/>
      <c r="N49" s="103"/>
      <c r="O49" s="103"/>
      <c r="P49" s="103"/>
      <c r="Q49" s="103"/>
      <c r="R49" s="23"/>
    </row>
    <row r="50" spans="1:18" ht="32.25" customHeight="1" x14ac:dyDescent="0.2">
      <c r="A50" s="51"/>
      <c r="B50" s="57"/>
      <c r="C50" s="57"/>
      <c r="D50" s="57"/>
      <c r="E50" s="57"/>
      <c r="F50" s="57"/>
      <c r="G50" s="57"/>
      <c r="H50" s="57"/>
      <c r="I50" s="57"/>
      <c r="J50" s="57"/>
      <c r="K50" s="57"/>
      <c r="L50" s="57"/>
      <c r="M50" s="134" t="s">
        <v>255</v>
      </c>
      <c r="N50" s="255" t="s">
        <v>296</v>
      </c>
      <c r="O50" s="255"/>
      <c r="P50" s="255"/>
      <c r="Q50" s="255"/>
      <c r="R50" s="256"/>
    </row>
    <row r="51" spans="1:18" ht="20.25" x14ac:dyDescent="0.2">
      <c r="A51" s="51"/>
      <c r="B51" s="57" t="s">
        <v>63</v>
      </c>
      <c r="C51" s="166"/>
      <c r="D51" s="167"/>
      <c r="E51" s="166"/>
      <c r="F51" s="167"/>
      <c r="G51" s="175" t="str">
        <f>IF(AND(ISBLANK(C51),ISBLANK(E51)),"",IF('Nu sterge'!W19="LAT ok, LONG ok",HYPERLINK(CONCATENATE("http://maps.google.com/maps?q=",'Nu sterge'!V19)),'Nu sterge'!W19))</f>
        <v/>
      </c>
      <c r="H51" s="175"/>
      <c r="I51" s="175"/>
      <c r="J51" s="175"/>
      <c r="K51" s="175"/>
      <c r="L51" s="175"/>
      <c r="M51" s="122"/>
      <c r="N51" s="173"/>
      <c r="O51" s="173"/>
      <c r="P51" s="173"/>
      <c r="Q51" s="173"/>
      <c r="R51" s="174"/>
    </row>
    <row r="52" spans="1:18" ht="20.25" x14ac:dyDescent="0.2">
      <c r="A52" s="51"/>
      <c r="B52" s="57" t="s">
        <v>64</v>
      </c>
      <c r="C52" s="166"/>
      <c r="D52" s="167"/>
      <c r="E52" s="166"/>
      <c r="F52" s="167"/>
      <c r="G52" s="175" t="str">
        <f>IF(AND(ISBLANK(C52),ISBLANK(E52)),"",IF('Nu sterge'!W22="LAT ok, LONG ok",HYPERLINK(CONCATENATE("http://maps.google.com/maps?q=",'Nu sterge'!V22)),'Nu sterge'!W22))</f>
        <v/>
      </c>
      <c r="H52" s="175"/>
      <c r="I52" s="175"/>
      <c r="J52" s="175"/>
      <c r="K52" s="175"/>
      <c r="L52" s="175"/>
      <c r="M52" s="122"/>
      <c r="N52" s="173"/>
      <c r="O52" s="173"/>
      <c r="P52" s="173"/>
      <c r="Q52" s="173"/>
      <c r="R52" s="174"/>
    </row>
    <row r="53" spans="1:18" ht="20.25" x14ac:dyDescent="0.2">
      <c r="A53" s="51"/>
      <c r="B53" s="57" t="s">
        <v>297</v>
      </c>
      <c r="C53" s="166"/>
      <c r="D53" s="167"/>
      <c r="E53" s="166"/>
      <c r="F53" s="167"/>
      <c r="G53" s="175" t="str">
        <f>IF(AND(ISBLANK(C53),ISBLANK(E53)),"",IF('Nu sterge'!W25="LAT ok, LONG ok",HYPERLINK(CONCATENATE("http://maps.google.com/maps?q=",'Nu sterge'!V25)),'Nu sterge'!W25))</f>
        <v/>
      </c>
      <c r="H53" s="175"/>
      <c r="I53" s="175"/>
      <c r="J53" s="175"/>
      <c r="K53" s="175"/>
      <c r="L53" s="175"/>
      <c r="M53" s="122"/>
      <c r="N53" s="173"/>
      <c r="O53" s="173"/>
      <c r="P53" s="173"/>
      <c r="Q53" s="173"/>
      <c r="R53" s="174"/>
    </row>
    <row r="54" spans="1:18" ht="20.25" x14ac:dyDescent="0.2">
      <c r="A54" s="51"/>
      <c r="B54" s="57" t="s">
        <v>298</v>
      </c>
      <c r="C54" s="166"/>
      <c r="D54" s="167"/>
      <c r="E54" s="166"/>
      <c r="F54" s="167"/>
      <c r="G54" s="175" t="str">
        <f>IF(AND(ISBLANK(C54),ISBLANK(E54)),"",IF('Nu sterge'!W28="LAT ok, LONG ok",HYPERLINK(CONCATENATE("http://maps.google.com/maps?q=",'Nu sterge'!V28)),'Nu sterge'!W28))</f>
        <v/>
      </c>
      <c r="H54" s="175"/>
      <c r="I54" s="175"/>
      <c r="J54" s="175"/>
      <c r="K54" s="175"/>
      <c r="L54" s="175"/>
      <c r="M54" s="122"/>
      <c r="N54" s="173"/>
      <c r="O54" s="173"/>
      <c r="P54" s="173"/>
      <c r="Q54" s="173"/>
      <c r="R54" s="174"/>
    </row>
    <row r="55" spans="1:18" ht="20.25" customHeight="1" x14ac:dyDescent="0.2">
      <c r="A55" s="47"/>
      <c r="C55" s="247" t="s">
        <v>120</v>
      </c>
      <c r="D55" s="247"/>
      <c r="E55" s="250" t="s">
        <v>121</v>
      </c>
      <c r="F55" s="250"/>
      <c r="G55" s="250" t="s">
        <v>122</v>
      </c>
      <c r="H55" s="250"/>
      <c r="I55" s="250" t="s">
        <v>123</v>
      </c>
      <c r="J55" s="250"/>
      <c r="K55" s="88" t="s">
        <v>124</v>
      </c>
      <c r="L55" s="87"/>
      <c r="R55" s="37"/>
    </row>
    <row r="56" spans="1:18" ht="20.25" customHeight="1" x14ac:dyDescent="0.2">
      <c r="A56" s="47"/>
      <c r="B56" s="57" t="s">
        <v>119</v>
      </c>
      <c r="C56" s="176"/>
      <c r="D56" s="176"/>
      <c r="E56" s="176"/>
      <c r="F56" s="176"/>
      <c r="G56" s="257"/>
      <c r="H56" s="258"/>
      <c r="I56" s="176"/>
      <c r="J56" s="176"/>
      <c r="K56" s="81"/>
      <c r="R56" s="37"/>
    </row>
    <row r="57" spans="1:18" ht="8.25" customHeight="1" thickBot="1" x14ac:dyDescent="0.25">
      <c r="A57" s="25"/>
      <c r="B57" s="27"/>
      <c r="C57" s="27"/>
      <c r="D57" s="26"/>
      <c r="E57" s="27"/>
      <c r="F57" s="27"/>
      <c r="G57" s="27"/>
      <c r="H57" s="27"/>
      <c r="I57" s="27"/>
      <c r="J57" s="27"/>
      <c r="K57" s="27"/>
      <c r="L57" s="27"/>
      <c r="M57" s="28"/>
      <c r="N57" s="29"/>
      <c r="O57" s="29"/>
      <c r="P57" s="29"/>
      <c r="Q57" s="29"/>
      <c r="R57" s="46"/>
    </row>
    <row r="58" spans="1:18" ht="23.25" customHeight="1" x14ac:dyDescent="0.35">
      <c r="A58" s="85" t="s">
        <v>24</v>
      </c>
      <c r="B58" s="126"/>
      <c r="C58" s="30"/>
      <c r="D58" s="31"/>
      <c r="E58" s="32"/>
      <c r="F58" s="32"/>
      <c r="G58" s="32"/>
      <c r="H58" s="32"/>
      <c r="I58" s="32"/>
      <c r="J58" s="32"/>
      <c r="K58" s="32"/>
      <c r="L58" s="32"/>
      <c r="M58" s="33"/>
      <c r="N58" s="34"/>
      <c r="O58" s="34"/>
      <c r="P58" s="34"/>
      <c r="Q58" s="34"/>
      <c r="R58" s="63"/>
    </row>
    <row r="59" spans="1:18" ht="23.25" customHeight="1" x14ac:dyDescent="0.2">
      <c r="A59" s="177"/>
      <c r="B59" s="178"/>
      <c r="C59" s="178"/>
      <c r="D59" s="178"/>
      <c r="E59" s="178"/>
      <c r="F59" s="178"/>
      <c r="G59" s="178"/>
      <c r="H59" s="178"/>
      <c r="I59" s="178"/>
      <c r="J59" s="178"/>
      <c r="K59" s="178"/>
      <c r="L59" s="178"/>
      <c r="M59" s="178"/>
      <c r="N59" s="178"/>
      <c r="O59" s="178"/>
      <c r="P59" s="178"/>
      <c r="Q59" s="178"/>
      <c r="R59" s="179"/>
    </row>
    <row r="60" spans="1:18" ht="23.25" customHeight="1" x14ac:dyDescent="0.2">
      <c r="A60" s="177"/>
      <c r="B60" s="178"/>
      <c r="C60" s="178"/>
      <c r="D60" s="178"/>
      <c r="E60" s="178"/>
      <c r="F60" s="178"/>
      <c r="G60" s="178"/>
      <c r="H60" s="178"/>
      <c r="I60" s="178"/>
      <c r="J60" s="178"/>
      <c r="K60" s="178"/>
      <c r="L60" s="178"/>
      <c r="M60" s="178"/>
      <c r="N60" s="178"/>
      <c r="O60" s="178"/>
      <c r="P60" s="178"/>
      <c r="Q60" s="178"/>
      <c r="R60" s="179"/>
    </row>
    <row r="61" spans="1:18" ht="23.25" customHeight="1" thickBot="1" x14ac:dyDescent="0.25">
      <c r="A61" s="180"/>
      <c r="B61" s="181"/>
      <c r="C61" s="181"/>
      <c r="D61" s="181"/>
      <c r="E61" s="181"/>
      <c r="F61" s="181"/>
      <c r="G61" s="181"/>
      <c r="H61" s="181"/>
      <c r="I61" s="181"/>
      <c r="J61" s="181"/>
      <c r="K61" s="181"/>
      <c r="L61" s="181"/>
      <c r="M61" s="181"/>
      <c r="N61" s="181"/>
      <c r="O61" s="181"/>
      <c r="P61" s="181"/>
      <c r="Q61" s="181"/>
      <c r="R61" s="182"/>
    </row>
    <row r="62" spans="1:18" ht="23.25" customHeight="1" x14ac:dyDescent="0.35">
      <c r="A62" s="85" t="s">
        <v>245</v>
      </c>
      <c r="B62" s="118"/>
      <c r="C62" s="118"/>
      <c r="D62" s="118"/>
      <c r="E62" s="118"/>
      <c r="F62" s="118"/>
      <c r="G62" s="118"/>
      <c r="H62" s="118"/>
      <c r="I62" s="118"/>
      <c r="J62" s="32"/>
      <c r="K62" s="32"/>
      <c r="L62" s="32"/>
      <c r="M62" s="32"/>
      <c r="N62" s="32"/>
      <c r="O62" s="119" t="s">
        <v>246</v>
      </c>
      <c r="P62" s="119" t="s">
        <v>247</v>
      </c>
      <c r="Q62" s="119" t="s">
        <v>248</v>
      </c>
      <c r="R62" s="120" t="s">
        <v>249</v>
      </c>
    </row>
    <row r="63" spans="1:18" ht="23.25" customHeight="1" x14ac:dyDescent="0.2">
      <c r="A63" s="121" t="s">
        <v>250</v>
      </c>
      <c r="O63" s="112"/>
      <c r="P63" s="112"/>
      <c r="Q63" s="112" t="s">
        <v>653</v>
      </c>
      <c r="R63" s="259"/>
    </row>
    <row r="64" spans="1:18" ht="23.25" customHeight="1" x14ac:dyDescent="0.2">
      <c r="A64" s="121" t="s">
        <v>382</v>
      </c>
      <c r="B64" s="94"/>
      <c r="C64" s="94"/>
      <c r="D64" s="94"/>
      <c r="E64" s="94"/>
      <c r="F64" s="94"/>
      <c r="G64" s="94"/>
      <c r="H64" s="94"/>
      <c r="I64" s="94"/>
      <c r="O64" s="112" t="s">
        <v>653</v>
      </c>
      <c r="P64" s="112"/>
      <c r="Q64" s="112"/>
      <c r="R64" s="260"/>
    </row>
    <row r="65" spans="1:18" ht="23.25" customHeight="1" x14ac:dyDescent="0.2">
      <c r="A65" s="121" t="s">
        <v>251</v>
      </c>
      <c r="B65" s="94"/>
      <c r="C65" s="94"/>
      <c r="D65" s="94"/>
      <c r="E65" s="94"/>
      <c r="F65" s="94"/>
      <c r="G65" s="94"/>
      <c r="H65" s="94"/>
      <c r="I65" s="94"/>
      <c r="O65" s="112" t="s">
        <v>653</v>
      </c>
      <c r="P65" s="112"/>
      <c r="Q65" s="112"/>
      <c r="R65" s="260"/>
    </row>
    <row r="66" spans="1:18" ht="23.25" customHeight="1" x14ac:dyDescent="0.2">
      <c r="A66" s="121" t="s">
        <v>252</v>
      </c>
      <c r="B66" s="95"/>
      <c r="C66" s="95"/>
      <c r="D66" s="95"/>
      <c r="E66" s="95"/>
      <c r="F66" s="95"/>
      <c r="G66" s="95"/>
      <c r="H66" s="95"/>
      <c r="I66" s="95"/>
      <c r="O66" s="112" t="s">
        <v>653</v>
      </c>
      <c r="P66" s="112"/>
      <c r="Q66" s="112"/>
      <c r="R66" s="260"/>
    </row>
    <row r="67" spans="1:18" ht="23.25" customHeight="1" x14ac:dyDescent="0.2">
      <c r="A67" s="121" t="s">
        <v>253</v>
      </c>
      <c r="B67" s="170"/>
      <c r="C67" s="171"/>
      <c r="D67" s="171"/>
      <c r="E67" s="171"/>
      <c r="F67" s="171"/>
      <c r="G67" s="171"/>
      <c r="H67" s="171"/>
      <c r="I67" s="171"/>
      <c r="J67" s="171"/>
      <c r="K67" s="171"/>
      <c r="L67" s="172"/>
      <c r="N67" s="96"/>
      <c r="O67" s="112"/>
      <c r="P67" s="112"/>
      <c r="Q67" s="112"/>
      <c r="R67" s="261"/>
    </row>
    <row r="68" spans="1:18" ht="9" customHeight="1" thickBot="1" x14ac:dyDescent="0.25">
      <c r="A68" s="97"/>
      <c r="B68" s="98"/>
      <c r="C68" s="98"/>
      <c r="D68" s="98"/>
      <c r="E68" s="98"/>
      <c r="F68" s="98"/>
      <c r="G68" s="98"/>
      <c r="H68" s="98"/>
      <c r="I68" s="98"/>
      <c r="J68" s="98"/>
      <c r="K68" s="98"/>
      <c r="L68" s="98"/>
      <c r="M68" s="98"/>
      <c r="N68" s="98"/>
      <c r="O68" s="98"/>
      <c r="P68" s="133">
        <f>COUNTA(P63:P66)</f>
        <v>0</v>
      </c>
      <c r="Q68" s="98"/>
      <c r="R68" s="99"/>
    </row>
    <row r="69" spans="1:18" ht="23.25" customHeight="1" x14ac:dyDescent="0.35">
      <c r="A69" s="22" t="s">
        <v>25</v>
      </c>
      <c r="B69" s="101"/>
      <c r="C69" s="101"/>
      <c r="D69" s="101"/>
      <c r="E69" s="101"/>
      <c r="F69" s="101"/>
      <c r="G69" s="101"/>
      <c r="H69" s="101"/>
      <c r="I69" s="4"/>
      <c r="J69" s="101"/>
      <c r="K69" s="101"/>
      <c r="L69" s="1"/>
      <c r="M69" s="3"/>
      <c r="N69" s="3"/>
      <c r="O69" s="3"/>
      <c r="P69" s="3"/>
      <c r="Q69" s="3"/>
      <c r="R69" s="62"/>
    </row>
    <row r="70" spans="1:18" ht="23.25" customHeight="1" x14ac:dyDescent="0.2">
      <c r="A70" s="232" t="s">
        <v>38</v>
      </c>
      <c r="B70" s="233"/>
      <c r="C70" s="233"/>
      <c r="D70" s="233"/>
      <c r="E70" s="233"/>
      <c r="F70" s="233"/>
      <c r="G70" s="13" t="s">
        <v>2</v>
      </c>
      <c r="H70" s="14" t="s">
        <v>3</v>
      </c>
      <c r="I70" s="227" t="s">
        <v>48</v>
      </c>
      <c r="J70" s="227"/>
      <c r="K70" s="228"/>
      <c r="L70" s="8" t="s">
        <v>3</v>
      </c>
      <c r="P70" s="6"/>
      <c r="Q70" s="6"/>
      <c r="R70" s="23"/>
    </row>
    <row r="71" spans="1:18" ht="23.25" customHeight="1" x14ac:dyDescent="0.2">
      <c r="A71" s="232"/>
      <c r="B71" s="233"/>
      <c r="C71" s="233"/>
      <c r="D71" s="233"/>
      <c r="E71" s="233"/>
      <c r="F71" s="233"/>
      <c r="G71" s="102" t="s">
        <v>653</v>
      </c>
      <c r="H71" s="102"/>
      <c r="I71" s="227"/>
      <c r="J71" s="227"/>
      <c r="K71" s="228"/>
      <c r="L71" s="102"/>
      <c r="P71" s="10"/>
      <c r="Q71" s="10"/>
      <c r="R71" s="60">
        <f>COUNTA(H71,L71,G74)</f>
        <v>1</v>
      </c>
    </row>
    <row r="72" spans="1:18" ht="11.1" customHeight="1" x14ac:dyDescent="0.2">
      <c r="A72" s="59"/>
      <c r="B72" s="48"/>
      <c r="C72" s="9"/>
      <c r="D72" s="15"/>
      <c r="E72" s="15"/>
      <c r="F72" s="15"/>
      <c r="G72" s="15"/>
      <c r="H72" s="15"/>
      <c r="I72" s="15"/>
      <c r="J72" s="15"/>
      <c r="K72" s="12"/>
      <c r="L72" s="12"/>
      <c r="M72" s="12"/>
      <c r="N72" s="12"/>
      <c r="O72" s="12"/>
      <c r="P72" s="9"/>
      <c r="Q72" s="9"/>
      <c r="R72" s="49"/>
    </row>
    <row r="73" spans="1:18" ht="23.25" customHeight="1" x14ac:dyDescent="0.2">
      <c r="A73" s="232" t="s">
        <v>7</v>
      </c>
      <c r="B73" s="233"/>
      <c r="C73" s="233"/>
      <c r="D73" s="233"/>
      <c r="E73" s="233"/>
      <c r="F73" s="233"/>
      <c r="G73" s="8" t="s">
        <v>3</v>
      </c>
      <c r="H73" s="11"/>
      <c r="I73" s="45"/>
      <c r="J73" s="45"/>
      <c r="K73" s="12"/>
      <c r="L73" s="12"/>
      <c r="M73" s="12"/>
      <c r="N73" s="12"/>
      <c r="O73" s="12"/>
      <c r="P73" s="9"/>
      <c r="Q73" s="9"/>
      <c r="R73" s="60">
        <f>COUNTA(G71,G74)</f>
        <v>2</v>
      </c>
    </row>
    <row r="74" spans="1:18" ht="23.25" customHeight="1" x14ac:dyDescent="0.2">
      <c r="A74" s="232"/>
      <c r="B74" s="233"/>
      <c r="C74" s="233"/>
      <c r="D74" s="233"/>
      <c r="E74" s="233"/>
      <c r="F74" s="233"/>
      <c r="G74" s="102" t="s">
        <v>653</v>
      </c>
      <c r="H74" s="17" t="str">
        <f>IF(ISBLANK(G74),"Obligatie contractuala","")</f>
        <v/>
      </c>
      <c r="I74" s="45"/>
      <c r="J74" s="45"/>
      <c r="K74" s="248" t="str">
        <f>IF(P7&gt;0,IF(OR(R73=2,R71=3),"","Completeaza campurile libere din aceasta sectiune"),"")</f>
        <v/>
      </c>
      <c r="L74" s="248"/>
      <c r="M74" s="248"/>
      <c r="N74" s="248"/>
      <c r="O74" s="248"/>
      <c r="P74" s="248"/>
      <c r="Q74" s="248"/>
      <c r="R74" s="249"/>
    </row>
    <row r="75" spans="1:18" ht="11.1" customHeight="1" thickBot="1" x14ac:dyDescent="0.25">
      <c r="A75" s="39"/>
      <c r="B75" s="40"/>
      <c r="C75" s="40"/>
      <c r="D75" s="40"/>
      <c r="E75" s="40"/>
      <c r="F75" s="40"/>
      <c r="G75" s="40"/>
      <c r="H75" s="40"/>
      <c r="I75" s="40"/>
      <c r="J75" s="40"/>
      <c r="K75" s="40"/>
      <c r="L75" s="40"/>
      <c r="M75" s="40"/>
      <c r="N75" s="40"/>
      <c r="O75" s="40"/>
      <c r="P75" s="40"/>
      <c r="Q75" s="40"/>
      <c r="R75" s="41"/>
    </row>
    <row r="76" spans="1:18" ht="23.25" x14ac:dyDescent="0.2">
      <c r="A76" s="55" t="s">
        <v>8</v>
      </c>
      <c r="R76" s="37"/>
    </row>
    <row r="77" spans="1:18" ht="34.5" customHeight="1" x14ac:dyDescent="0.2">
      <c r="A77" s="234" t="s">
        <v>254</v>
      </c>
      <c r="B77" s="235"/>
      <c r="C77" s="224"/>
      <c r="D77" s="225"/>
      <c r="E77" s="225"/>
      <c r="F77" s="225"/>
      <c r="G77" s="225"/>
      <c r="H77" s="226"/>
      <c r="I77" s="100" t="b">
        <f>IF(AND(COUNTA(validate_name,C79,D79,E79)=4,P7=5,IFERROR(SEARCH("comple",K11,1),0)=0,IFERROR(SEARCH("comple",P18,1),0)=0,IFERROR(SEARCH("comple",K74,1),0)=0), TRUE, FALSE)</f>
        <v>0</v>
      </c>
      <c r="J77" s="262" t="str">
        <f ca="1">IF(Name_manager!J13&gt;0, "Nu se va prelua!
QAF modificat in zona "&amp;Name_manager!L1,IF(ISBLANK(site_code_A),"",IF(LEN(Services!F1)=0,IF(AND(I77,Services!G1=TRUE),"Formular complet","Nu se va prelua! 
Formular incomplet"),"Nu se va prelua! 
Completare gresita in sheet Services")))</f>
        <v/>
      </c>
      <c r="K77" s="262"/>
      <c r="L77" s="262"/>
      <c r="M77" s="262"/>
      <c r="N77" s="262"/>
      <c r="O77" s="262"/>
      <c r="P77" s="262"/>
      <c r="Q77" s="262"/>
      <c r="R77" s="37"/>
    </row>
    <row r="78" spans="1:18" ht="15" customHeight="1" x14ac:dyDescent="0.25">
      <c r="A78" s="36"/>
      <c r="C78" s="44" t="s">
        <v>9</v>
      </c>
      <c r="D78" s="44" t="s">
        <v>10</v>
      </c>
      <c r="E78" s="44" t="s">
        <v>11</v>
      </c>
      <c r="F78" s="43"/>
      <c r="I78" s="158">
        <f>COUNTA(site_code_A,validate_name,C79,D79,E79)</f>
        <v>0</v>
      </c>
      <c r="J78" s="262"/>
      <c r="K78" s="262"/>
      <c r="L78" s="262"/>
      <c r="M78" s="262"/>
      <c r="N78" s="262"/>
      <c r="O78" s="262"/>
      <c r="P78" s="262"/>
      <c r="Q78" s="262"/>
      <c r="R78" s="37"/>
    </row>
    <row r="79" spans="1:18" ht="24" customHeight="1" x14ac:dyDescent="0.25">
      <c r="A79" s="36"/>
      <c r="B79" s="11" t="s">
        <v>26</v>
      </c>
      <c r="C79" s="68"/>
      <c r="D79" s="68"/>
      <c r="E79" s="68"/>
      <c r="F79" s="56" t="str">
        <f>CONCATENATE(IF(C79&lt;10,"0"&amp;C79,C79),"/",IF(D79&lt;10,"0"&amp;D79,D79),"/",E79)</f>
        <v>0/0/</v>
      </c>
      <c r="I79" s="158" t="b">
        <f>IF(AND(I78&lt;5,I78&gt;0),TRUE, FALSE)</f>
        <v>0</v>
      </c>
      <c r="J79" s="262"/>
      <c r="K79" s="262"/>
      <c r="L79" s="262"/>
      <c r="M79" s="262"/>
      <c r="N79" s="262"/>
      <c r="O79" s="262"/>
      <c r="P79" s="262"/>
      <c r="Q79" s="262"/>
      <c r="R79" s="37"/>
    </row>
    <row r="80" spans="1:18" ht="11.1" customHeight="1" thickBot="1" x14ac:dyDescent="0.25">
      <c r="A80" s="35"/>
      <c r="B80" s="27"/>
      <c r="C80" s="27"/>
      <c r="D80" s="27"/>
      <c r="E80" s="27"/>
      <c r="F80" s="27"/>
      <c r="G80" s="27"/>
      <c r="H80" s="27"/>
      <c r="I80" s="27"/>
      <c r="J80" s="27"/>
      <c r="K80" s="27"/>
      <c r="L80" s="27"/>
      <c r="M80" s="27"/>
      <c r="N80" s="27"/>
      <c r="O80" s="27"/>
      <c r="P80" s="27"/>
      <c r="Q80" s="27"/>
      <c r="R80" s="38"/>
    </row>
  </sheetData>
  <mergeCells count="98">
    <mergeCell ref="J77:Q79"/>
    <mergeCell ref="C33:D33"/>
    <mergeCell ref="E33:F33"/>
    <mergeCell ref="C43:D43"/>
    <mergeCell ref="G41:K41"/>
    <mergeCell ref="C38:D38"/>
    <mergeCell ref="E38:F38"/>
    <mergeCell ref="C39:I39"/>
    <mergeCell ref="G38:J38"/>
    <mergeCell ref="E41:F41"/>
    <mergeCell ref="E42:F42"/>
    <mergeCell ref="E43:F43"/>
    <mergeCell ref="G43:K43"/>
    <mergeCell ref="C34:D34"/>
    <mergeCell ref="E34:F34"/>
    <mergeCell ref="G34:J34"/>
    <mergeCell ref="K74:R74"/>
    <mergeCell ref="I55:J55"/>
    <mergeCell ref="F14:G14"/>
    <mergeCell ref="H14:J14"/>
    <mergeCell ref="C29:N31"/>
    <mergeCell ref="C23:K23"/>
    <mergeCell ref="E55:F55"/>
    <mergeCell ref="E56:F56"/>
    <mergeCell ref="G55:H55"/>
    <mergeCell ref="G51:L51"/>
    <mergeCell ref="N51:R51"/>
    <mergeCell ref="N50:R50"/>
    <mergeCell ref="N54:R54"/>
    <mergeCell ref="C53:D53"/>
    <mergeCell ref="G56:H56"/>
    <mergeCell ref="R63:R67"/>
    <mergeCell ref="C77:H77"/>
    <mergeCell ref="I70:K71"/>
    <mergeCell ref="D14:E14"/>
    <mergeCell ref="M40:N40"/>
    <mergeCell ref="A73:F74"/>
    <mergeCell ref="A77:B77"/>
    <mergeCell ref="A70:F71"/>
    <mergeCell ref="C51:D51"/>
    <mergeCell ref="D16:I16"/>
    <mergeCell ref="C25:N27"/>
    <mergeCell ref="G19:H19"/>
    <mergeCell ref="G20:H20"/>
    <mergeCell ref="M43:N43"/>
    <mergeCell ref="M44:N44"/>
    <mergeCell ref="C56:D56"/>
    <mergeCell ref="C55:D55"/>
    <mergeCell ref="I11:J11"/>
    <mergeCell ref="D15:E15"/>
    <mergeCell ref="G18:H18"/>
    <mergeCell ref="K11:R11"/>
    <mergeCell ref="F13:G13"/>
    <mergeCell ref="H13:J13"/>
    <mergeCell ref="G17:H17"/>
    <mergeCell ref="P18:Q29"/>
    <mergeCell ref="G21:H21"/>
    <mergeCell ref="A1:A3"/>
    <mergeCell ref="D5:E5"/>
    <mergeCell ref="K5:L5"/>
    <mergeCell ref="K9:P9"/>
    <mergeCell ref="P1:R3"/>
    <mergeCell ref="B1:O3"/>
    <mergeCell ref="A7:C7"/>
    <mergeCell ref="D7:N7"/>
    <mergeCell ref="A9:C9"/>
    <mergeCell ref="D9:F9"/>
    <mergeCell ref="B67:L67"/>
    <mergeCell ref="N52:R52"/>
    <mergeCell ref="N53:R53"/>
    <mergeCell ref="G52:L52"/>
    <mergeCell ref="E53:F53"/>
    <mergeCell ref="G53:L53"/>
    <mergeCell ref="E52:F52"/>
    <mergeCell ref="I56:J56"/>
    <mergeCell ref="C52:D52"/>
    <mergeCell ref="C54:D54"/>
    <mergeCell ref="E54:F54"/>
    <mergeCell ref="G54:L54"/>
    <mergeCell ref="A59:R61"/>
    <mergeCell ref="E51:F51"/>
    <mergeCell ref="G44:K44"/>
    <mergeCell ref="C46:K46"/>
    <mergeCell ref="C47:K47"/>
    <mergeCell ref="C48:K48"/>
    <mergeCell ref="C49:K49"/>
    <mergeCell ref="E44:F44"/>
    <mergeCell ref="C44:D44"/>
    <mergeCell ref="O37:P37"/>
    <mergeCell ref="O38:P38"/>
    <mergeCell ref="M42:N42"/>
    <mergeCell ref="M41:N41"/>
    <mergeCell ref="C35:I35"/>
    <mergeCell ref="C41:D41"/>
    <mergeCell ref="C42:D42"/>
    <mergeCell ref="C37:D37"/>
    <mergeCell ref="G42:K42"/>
    <mergeCell ref="E37:F37"/>
  </mergeCells>
  <phoneticPr fontId="0" type="noConversion"/>
  <conditionalFormatting sqref="B67:L67">
    <cfRule type="expression" dxfId="30" priority="32">
      <formula>IF(AND(P68&gt;0,ISBLANK($B$67)),TRUE,FALSE)</formula>
    </cfRule>
  </conditionalFormatting>
  <conditionalFormatting sqref="C77">
    <cfRule type="expression" dxfId="29" priority="22">
      <formula>AND($I$79, LEN($C$77)=0)</formula>
    </cfRule>
  </conditionalFormatting>
  <conditionalFormatting sqref="C79">
    <cfRule type="expression" dxfId="28" priority="21">
      <formula>AND($I$79, LEN($C$79)=0)</formula>
    </cfRule>
  </conditionalFormatting>
  <conditionalFormatting sqref="C35:I35">
    <cfRule type="containsText" dxfId="27" priority="87" operator="containsText" text="nu">
      <formula>NOT(ISERROR(SEARCH("nu",C35)))</formula>
    </cfRule>
    <cfRule type="containsText" dxfId="26" priority="88" operator="containsText" text="nok">
      <formula>NOT(ISERROR(SEARCH("nok",C35)))</formula>
    </cfRule>
  </conditionalFormatting>
  <conditionalFormatting sqref="C39:I39">
    <cfRule type="containsText" dxfId="25" priority="95" operator="containsText" text="nu">
      <formula>NOT(ISERROR(SEARCH("nu",C39)))</formula>
    </cfRule>
    <cfRule type="containsText" dxfId="24" priority="96" operator="containsText" text="nok">
      <formula>NOT(ISERROR(SEARCH("nok",C39)))</formula>
    </cfRule>
  </conditionalFormatting>
  <conditionalFormatting sqref="D79">
    <cfRule type="expression" dxfId="23" priority="20">
      <formula>AND($I$79, LEN($D$79)=0)</formula>
    </cfRule>
  </conditionalFormatting>
  <conditionalFormatting sqref="D5:E5 D9:F9 K9:P9 D11 I11:J11">
    <cfRule type="expression" dxfId="22" priority="29">
      <formula>IF(AND($P$7&lt;5,$P$7&gt;0),TRUE, FALSE)</formula>
    </cfRule>
  </conditionalFormatting>
  <conditionalFormatting sqref="D14:E15 D16:I16 C23:K23 C34:F34">
    <cfRule type="expression" dxfId="21" priority="39">
      <formula>IF(AND($J$17&lt;7,$J$17&gt;0),TRUE, FALSE)</formula>
    </cfRule>
  </conditionalFormatting>
  <conditionalFormatting sqref="E18:E21">
    <cfRule type="expression" dxfId="20" priority="23">
      <formula>IF(AND(E18&lt;&gt;$I$17,COUNTA(C18,D18,E18)=3), TRUE, FALSE)</formula>
    </cfRule>
  </conditionalFormatting>
  <conditionalFormatting sqref="E79">
    <cfRule type="expression" dxfId="19" priority="19">
      <formula>AND($I$79, LEN($E$79)=0)</formula>
    </cfRule>
    <cfRule type="expression" dxfId="18" priority="69">
      <formula>IF(AND(E79&lt;&gt;$I$17,COUNTA(C79,D79,E79)=3), TRUE, FALSE)</formula>
    </cfRule>
  </conditionalFormatting>
  <conditionalFormatting sqref="G41:G44">
    <cfRule type="containsText" dxfId="17" priority="73" operator="containsText" text="nu">
      <formula>NOT(ISERROR(SEARCH("nu",G41)))</formula>
    </cfRule>
    <cfRule type="containsText" dxfId="16" priority="74" operator="containsText" text="nok">
      <formula>NOT(ISERROR(SEARCH("nok",G41)))</formula>
    </cfRule>
  </conditionalFormatting>
  <conditionalFormatting sqref="G71">
    <cfRule type="notContainsBlanks" dxfId="15" priority="152" stopIfTrue="1">
      <formula>LEN(TRIM(G71))&gt;0</formula>
    </cfRule>
  </conditionalFormatting>
  <conditionalFormatting sqref="G74">
    <cfRule type="notContainsBlanks" dxfId="14" priority="154" stopIfTrue="1">
      <formula>LEN(TRIM(G74))&gt;0</formula>
    </cfRule>
  </conditionalFormatting>
  <conditionalFormatting sqref="G70:H70">
    <cfRule type="expression" dxfId="13" priority="151" stopIfTrue="1">
      <formula>AND(#REF!="x",#REF!="x")</formula>
    </cfRule>
  </conditionalFormatting>
  <conditionalFormatting sqref="G51:L54">
    <cfRule type="containsText" dxfId="12" priority="63" operator="containsText" text="nu">
      <formula>NOT(ISERROR(SEARCH("nu",G51)))</formula>
    </cfRule>
    <cfRule type="containsText" dxfId="11" priority="64" operator="containsText" text="nok">
      <formula>NOT(ISERROR(SEARCH("nok",G51)))</formula>
    </cfRule>
  </conditionalFormatting>
  <conditionalFormatting sqref="H71">
    <cfRule type="notContainsBlanks" dxfId="10" priority="153" stopIfTrue="1">
      <formula>LEN(TRIM(H71))&gt;0</formula>
    </cfRule>
  </conditionalFormatting>
  <conditionalFormatting sqref="J77">
    <cfRule type="containsText" dxfId="9" priority="174" stopIfTrue="1" operator="containsText" text="Formular complet">
      <formula>NOT(ISERROR(SEARCH("Formular complet",J77)))</formula>
    </cfRule>
    <cfRule type="containsText" dxfId="8" priority="175" stopIfTrue="1" operator="containsText" text="nu">
      <formula>NOT(ISERROR(SEARCH("nu",J77)))</formula>
    </cfRule>
  </conditionalFormatting>
  <conditionalFormatting sqref="K11">
    <cfRule type="notContainsBlanks" dxfId="7" priority="113" stopIfTrue="1">
      <formula>LEN(TRIM(K11))&gt;0</formula>
    </cfRule>
  </conditionalFormatting>
  <conditionalFormatting sqref="L71">
    <cfRule type="containsText" dxfId="6" priority="148" stopIfTrue="1" operator="containsText" text="x">
      <formula>NOT(ISERROR(SEARCH("x",L71)))</formula>
    </cfRule>
    <cfRule type="expression" dxfId="5" priority="150" stopIfTrue="1">
      <formula>$H$71="x"</formula>
    </cfRule>
  </conditionalFormatting>
  <conditionalFormatting sqref="N57:N58 K74">
    <cfRule type="notContainsBlanks" dxfId="4" priority="149" stopIfTrue="1">
      <formula>LEN(TRIM(K57))&gt;0</formula>
    </cfRule>
  </conditionalFormatting>
  <conditionalFormatting sqref="P18">
    <cfRule type="notContainsBlanks" dxfId="3" priority="43" stopIfTrue="1">
      <formula>LEN(TRIM(P18))&gt;0</formula>
    </cfRule>
  </conditionalFormatting>
  <dataValidations xWindow="482" yWindow="299" count="21">
    <dataValidation type="list" showDropDown="1" showInputMessage="1" showErrorMessage="1" errorTitle="ATENTIE :" error="Caractere acceptate : x sau X" sqref="G74 G71:H71" xr:uid="{D7C89500-EFD6-4AF0-8D86-F97760B0B74D}">
      <formula1>"x, X"</formula1>
    </dataValidation>
    <dataValidation type="custom" showInputMessage="1" showErrorMessage="1" errorTitle="Site Code:" error="Site Code: AAxxxx (cod regiune din doua litere urmate de 4 cifre, fara blank)" promptTitle="Site Code:" prompt="sub forma BA0344" sqref="D5:E5 K5:L5" xr:uid="{16415D34-ADEB-4C3A-8118-DBC0B055C70B}">
      <formula1>AND(LEN(D5)=6, EXACT(UPPER(D6),D6), OR(D6="MO",D6="CL",D6="BR",D6="GA",D6="BA",D6="CR",D6="TI",D6="BE",D6="BI"),ISNUMBER(VALUE(MID(D5,3,1))),ISNUMBER(VALUE(MID(D5,4,3))))</formula1>
    </dataValidation>
    <dataValidation type="decimal" allowBlank="1" showInputMessage="1" showErrorMessage="1" errorTitle="ATENTIE :" error="Valori permise: de la 1 la 96" sqref="D11" xr:uid="{CA1FB2CF-7469-4755-A54D-194B0D58920E}">
      <formula1>1</formula1>
      <formula2>999</formula2>
    </dataValidation>
    <dataValidation type="whole" allowBlank="1" showInputMessage="1" showErrorMessage="1" errorTitle="Data vizitei :" error="Introduceti LUNA (doua cifre)" promptTitle="Data vizitei:" prompt="Introduceti LUNA (doua cifre)" sqref="D18:D21" xr:uid="{4F1955AD-2106-4C77-A26E-5123127531FD}">
      <formula1>1</formula1>
      <formula2>12</formula2>
    </dataValidation>
    <dataValidation type="whole" allowBlank="1" showInputMessage="1" showErrorMessage="1" errorTitle="Data vizitei :" error="Introduceti ZIUA (doua cifre)" promptTitle="Data vizitei:" prompt="Introduceti ZIUA (doua cifre)" sqref="C18:C21" xr:uid="{AD06811F-0D56-4C9D-AA66-97046755C09C}">
      <formula1>1</formula1>
      <formula2>31</formula2>
    </dataValidation>
    <dataValidation type="whole" allowBlank="1" showInputMessage="1" showErrorMessage="1" errorTitle="Data validarii :" error="Introduceti LUNA (doua cifre)" promptTitle="Data validarii :" prompt="Introduceti LUNA (doua cifre)" sqref="D79" xr:uid="{9772A366-7FC6-4940-B5D8-BA3B8F95ECF5}">
      <formula1>1</formula1>
      <formula2>12</formula2>
    </dataValidation>
    <dataValidation type="whole" allowBlank="1" showInputMessage="1" showErrorMessage="1" errorTitle="Data validarii :" error="Introduceti ZIUA (doua cifre)" promptTitle="Data validarii :" prompt="Introduceti ZIUA (doua cifre)" sqref="C79" xr:uid="{FC147D20-8D6F-4350-B795-C8CFB7CDD53B}">
      <formula1>1</formula1>
      <formula2>31</formula2>
    </dataValidation>
    <dataValidation type="list" allowBlank="1" showInputMessage="1" showErrorMessage="1" sqref="D14:E14" xr:uid="{F11E56FB-59BF-4D5B-8561-E3FCD7564FE9}">
      <formula1>"IMO, PBM, FITT"</formula1>
    </dataValidation>
    <dataValidation type="whole" operator="greaterThanOrEqual" allowBlank="1" showInputMessage="1" showErrorMessage="1" errorTitle="Data vizitei :" error="Introduceti ANUL (patru cifre)" promptTitle="Data vizitei:" prompt="Introduceti ANUL (patru cifre)" sqref="E79 E18:E21" xr:uid="{702E5140-6269-4354-B1C7-3FBC314D4EE6}">
      <formula1>2023</formula1>
    </dataValidation>
    <dataValidation type="time" allowBlank="1" showInputMessage="1" showErrorMessage="1" error="Ora si minutul, sub forma:_x000a__x000a_22:17 sau 03:53" sqref="G18:G21 H18 H20:H21" xr:uid="{9CF17912-EB3D-43E9-B9B9-316CDB3C19BE}">
      <formula1>0</formula1>
      <formula2>0.999305555555556</formula2>
    </dataValidation>
    <dataValidation type="list" errorStyle="warning" showInputMessage="1" showErrorMessage="1" error="Vrei sa introduci un alt tip de jonctiune?" sqref="M41:N44" xr:uid="{AC072283-B128-48B6-AA34-A086E93ECDEB}">
      <formula1>tip_jonctiune</formula1>
    </dataValidation>
    <dataValidation type="whole" allowBlank="1" showInputMessage="1" showErrorMessage="1" error="Doar intre 41 si 50 inclusiv" sqref="L37" xr:uid="{41038EA7-65D7-406B-8D00-840856188198}">
      <formula1>41</formula1>
      <formula2>50</formula2>
    </dataValidation>
    <dataValidation type="decimal" allowBlank="1" showInputMessage="1" showErrorMessage="1" sqref="M37:M38" xr:uid="{F66AC857-60BA-4628-9641-2FE8AAB09EFB}">
      <formula1>0</formula1>
      <formula2>59</formula2>
    </dataValidation>
    <dataValidation type="whole" allowBlank="1" showInputMessage="1" showErrorMessage="1" error="Doar intre 20 si 31 inclusiv" sqref="L38" xr:uid="{5A1DD0C6-5E76-4A46-8ECA-9091EE670C87}">
      <formula1>20</formula1>
      <formula2>31</formula2>
    </dataValidation>
    <dataValidation type="decimal" operator="greaterThanOrEqual" allowBlank="1" showInputMessage="1" showErrorMessage="1" sqref="P15:Q15 K56" xr:uid="{9DE14443-FA6B-471D-A125-80DA63655A86}">
      <formula1>0</formula1>
    </dataValidation>
    <dataValidation type="decimal" operator="greaterThanOrEqual" allowBlank="1" showInputMessage="1" showErrorMessage="1" sqref="D15:E15" xr:uid="{E6B5B809-215F-4D6B-BCA9-9DD227E02717}">
      <formula1>1</formula1>
    </dataValidation>
    <dataValidation showInputMessage="1" showErrorMessage="1" errorTitle="Site Code:" error="Site Code: AAxxxx (cod regiune din doua litere urmate de 4 cifre, fara blank)" promptTitle="Site Code:" prompt="sub forma BA0344" sqref="C56:D56 G56:H56" xr:uid="{426FFEB2-4417-42A3-A51C-9D1826360FFD}"/>
    <dataValidation showInputMessage="1" showErrorMessage="1" sqref="E56:F56 I56:J56" xr:uid="{D0C13AC8-FBA6-467A-9C0F-F41DB2BA99A9}"/>
    <dataValidation type="decimal" allowBlank="1" showInputMessage="1" showErrorMessage="1" sqref="N37:N38" xr:uid="{D84801EF-4BB7-4055-8422-A9E88E3FDD2E}">
      <formula1>0</formula1>
      <formula2>59.99999</formula2>
    </dataValidation>
    <dataValidation type="list" allowBlank="1" showInputMessage="1" showErrorMessage="1" sqref="K9:P9" xr:uid="{31E3E66A-89C9-42AA-82A6-25B0C7122460}">
      <formula1>"ASGO, Proconect"</formula1>
    </dataValidation>
    <dataValidation type="list" allowBlank="1" showInputMessage="1" showErrorMessage="1" sqref="L41:L44 M51:M54" xr:uid="{F58CC1E7-337E-4739-AFBB-8E5565ECB9ED}">
      <formula1>"da, nu"</formula1>
    </dataValidation>
  </dataValidations>
  <pageMargins left="0.27559055118110237" right="0.27559055118110237" top="0.15748031496062992" bottom="0.27559055118110237" header="0.11811023622047245" footer="0.15748031496062992"/>
  <pageSetup paperSize="9" scale="47" fitToHeight="0" orientation="portrait" horizontalDpi="4294967293" verticalDpi="4294967293" r:id="rId1"/>
  <headerFooter alignWithMargins="0">
    <oddFooter>&amp;LQAF 628 v7.3&amp;CThis document is Orange Romania property and cannot be reproduced without permission Orange Group Restricted&amp;RPage  &amp;P/ &amp;N</oddFooter>
  </headerFooter>
  <drawing r:id="rId2"/>
  <legacyDrawing r:id="rId3"/>
  <extLst>
    <ext xmlns:x14="http://schemas.microsoft.com/office/spreadsheetml/2009/9/main" uri="{CCE6A557-97BC-4b89-ADB6-D9C93CAAB3DF}">
      <x14:dataValidations xmlns:xm="http://schemas.microsoft.com/office/excel/2006/main" xWindow="482" yWindow="299" count="5">
        <x14:dataValidation type="list" allowBlank="1" showInputMessage="1" showErrorMessage="1" errorTitle="ATENTIE:" error="Se completeaza: DA sau NU" xr:uid="{B4FF6E6D-13AC-4B9E-A8C3-048DE533400B}">
          <x14:formula1>
            <xm:f>'Nu sterge'!$A$16:$A$19</xm:f>
          </x14:formula1>
          <xm:sqref>I11</xm:sqref>
        </x14:dataValidation>
        <x14:dataValidation type="list" allowBlank="1" showInputMessage="1" showErrorMessage="1" xr:uid="{0E51DF12-690C-4B9A-ABE3-68EB80E907C8}">
          <x14:formula1>
            <xm:f>IF(OR(Tip_interv="EVR",Tip_interv="IMO"),'Nu sterge'!$C$11:$C$13,IF(Tip_interv="PBM",'Nu sterge'!$D$11:$D$13,'Nu sterge'!$E$11:$E$13))</xm:f>
          </x14:formula1>
          <xm:sqref>F14:G14</xm:sqref>
        </x14:dataValidation>
        <x14:dataValidation type="list" allowBlank="1" showInputMessage="1" showErrorMessage="1" xr:uid="{E5181A70-CFD8-4753-9135-7F2BBD608636}">
          <x14:formula1>
            <xm:f>'Nu sterge'!$G$2:$G$43</xm:f>
          </x14:formula1>
          <xm:sqref>H14</xm:sqref>
        </x14:dataValidation>
        <x14:dataValidation type="list" allowBlank="1" showInputMessage="1" showErrorMessage="1" xr:uid="{799D6F89-C272-4302-85BA-9E0FFB62802F}">
          <x14:formula1>
            <xm:f>'Nu sterge'!$A$11:$A$13</xm:f>
          </x14:formula1>
          <xm:sqref>D9:F9</xm:sqref>
        </x14:dataValidation>
        <x14:dataValidation type="list" errorStyle="warning" allowBlank="1" showInputMessage="1" showErrorMessage="1" error="Nu exista cauza in lista si vrei sa introduci alta?" xr:uid="{8A870B19-6DF6-4AF5-A7FF-EDC25D95462F}">
          <x14:formula1>
            <xm:f>'Nu sterge'!$A$1:$A$9</xm:f>
          </x14:formula1>
          <xm:sqref>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938C5-5D5C-44D4-92D1-CC353757F16B}">
  <sheetPr codeName="Sheet2"/>
  <dimension ref="A1:D30"/>
  <sheetViews>
    <sheetView workbookViewId="0">
      <pane ySplit="1" topLeftCell="A2" activePane="bottomLeft" state="frozen"/>
      <selection pane="bottomLeft" activeCell="C2" sqref="C2:C30"/>
    </sheetView>
  </sheetViews>
  <sheetFormatPr defaultColWidth="9.140625" defaultRowHeight="15" x14ac:dyDescent="0.25"/>
  <cols>
    <col min="1" max="1" width="23.42578125" style="78" bestFit="1" customWidth="1"/>
    <col min="2" max="2" width="45.7109375" customWidth="1"/>
    <col min="4" max="4" width="11.28515625" bestFit="1" customWidth="1"/>
  </cols>
  <sheetData>
    <row r="1" spans="1:4" ht="18.75" x14ac:dyDescent="0.25">
      <c r="A1" s="111" t="s">
        <v>299</v>
      </c>
      <c r="B1" s="111" t="s">
        <v>300</v>
      </c>
      <c r="C1" s="111" t="s">
        <v>183</v>
      </c>
      <c r="D1" s="111" t="s">
        <v>244</v>
      </c>
    </row>
    <row r="2" spans="1:4" x14ac:dyDescent="0.25">
      <c r="A2" s="137" t="s">
        <v>625</v>
      </c>
      <c r="B2" s="138" t="s">
        <v>274</v>
      </c>
      <c r="C2" s="139" t="s">
        <v>626</v>
      </c>
      <c r="D2" s="112"/>
    </row>
    <row r="3" spans="1:4" x14ac:dyDescent="0.25">
      <c r="A3" s="137" t="s">
        <v>627</v>
      </c>
      <c r="B3" s="138" t="s">
        <v>275</v>
      </c>
      <c r="C3" s="139" t="s">
        <v>628</v>
      </c>
      <c r="D3" s="112"/>
    </row>
    <row r="4" spans="1:4" x14ac:dyDescent="0.25">
      <c r="A4" s="137" t="s">
        <v>629</v>
      </c>
      <c r="B4" s="138" t="s">
        <v>276</v>
      </c>
      <c r="C4" s="139" t="s">
        <v>628</v>
      </c>
      <c r="D4" s="112"/>
    </row>
    <row r="5" spans="1:4" x14ac:dyDescent="0.25">
      <c r="A5" s="137" t="s">
        <v>630</v>
      </c>
      <c r="B5" s="138" t="s">
        <v>256</v>
      </c>
      <c r="C5" s="139" t="s">
        <v>628</v>
      </c>
      <c r="D5" s="112"/>
    </row>
    <row r="6" spans="1:4" x14ac:dyDescent="0.25">
      <c r="A6" s="137" t="s">
        <v>631</v>
      </c>
      <c r="B6" s="138" t="s">
        <v>257</v>
      </c>
      <c r="C6" s="139" t="s">
        <v>628</v>
      </c>
      <c r="D6" s="112"/>
    </row>
    <row r="7" spans="1:4" x14ac:dyDescent="0.25">
      <c r="A7" s="137" t="s">
        <v>632</v>
      </c>
      <c r="B7" s="138" t="s">
        <v>258</v>
      </c>
      <c r="C7" s="139" t="s">
        <v>628</v>
      </c>
      <c r="D7" s="112"/>
    </row>
    <row r="8" spans="1:4" x14ac:dyDescent="0.25">
      <c r="A8" s="137" t="s">
        <v>633</v>
      </c>
      <c r="B8" s="138" t="s">
        <v>634</v>
      </c>
      <c r="C8" s="139" t="s">
        <v>628</v>
      </c>
      <c r="D8" s="112"/>
    </row>
    <row r="9" spans="1:4" x14ac:dyDescent="0.25">
      <c r="A9" s="137" t="s">
        <v>635</v>
      </c>
      <c r="B9" s="138" t="s">
        <v>636</v>
      </c>
      <c r="C9" s="139" t="s">
        <v>628</v>
      </c>
      <c r="D9" s="112"/>
    </row>
    <row r="10" spans="1:4" x14ac:dyDescent="0.25">
      <c r="A10" s="137">
        <v>60101654</v>
      </c>
      <c r="B10" s="138" t="s">
        <v>637</v>
      </c>
      <c r="C10" s="139" t="s">
        <v>628</v>
      </c>
      <c r="D10" s="112"/>
    </row>
    <row r="11" spans="1:4" x14ac:dyDescent="0.25">
      <c r="A11" s="137" t="s">
        <v>638</v>
      </c>
      <c r="B11" s="138" t="s">
        <v>398</v>
      </c>
      <c r="C11" s="139" t="s">
        <v>628</v>
      </c>
      <c r="D11" s="112"/>
    </row>
    <row r="12" spans="1:4" x14ac:dyDescent="0.25">
      <c r="A12" s="137" t="s">
        <v>639</v>
      </c>
      <c r="B12" s="138" t="s">
        <v>640</v>
      </c>
      <c r="C12" s="139" t="s">
        <v>628</v>
      </c>
      <c r="D12" s="112"/>
    </row>
    <row r="13" spans="1:4" x14ac:dyDescent="0.25">
      <c r="A13" s="137" t="s">
        <v>641</v>
      </c>
      <c r="B13" s="138" t="s">
        <v>399</v>
      </c>
      <c r="C13" s="139" t="s">
        <v>628</v>
      </c>
      <c r="D13" s="112"/>
    </row>
    <row r="14" spans="1:4" x14ac:dyDescent="0.25">
      <c r="A14" s="137">
        <v>60098618</v>
      </c>
      <c r="B14" s="138" t="s">
        <v>642</v>
      </c>
      <c r="C14" s="139" t="s">
        <v>628</v>
      </c>
      <c r="D14" s="112"/>
    </row>
    <row r="15" spans="1:4" x14ac:dyDescent="0.25">
      <c r="A15" s="137" t="s">
        <v>643</v>
      </c>
      <c r="B15" s="138" t="s">
        <v>644</v>
      </c>
      <c r="C15" s="139" t="s">
        <v>626</v>
      </c>
      <c r="D15" s="112"/>
    </row>
    <row r="16" spans="1:4" x14ac:dyDescent="0.25">
      <c r="A16" s="137" t="s">
        <v>645</v>
      </c>
      <c r="B16" s="138" t="s">
        <v>646</v>
      </c>
      <c r="C16" s="139" t="s">
        <v>626</v>
      </c>
      <c r="D16" s="112"/>
    </row>
    <row r="17" spans="1:4" x14ac:dyDescent="0.25">
      <c r="A17" s="137" t="s">
        <v>259</v>
      </c>
      <c r="B17" s="138" t="s">
        <v>260</v>
      </c>
      <c r="C17" s="139" t="s">
        <v>626</v>
      </c>
      <c r="D17" s="112"/>
    </row>
    <row r="18" spans="1:4" x14ac:dyDescent="0.25">
      <c r="A18" s="137" t="s">
        <v>261</v>
      </c>
      <c r="B18" s="138" t="s">
        <v>262</v>
      </c>
      <c r="C18" s="139" t="s">
        <v>626</v>
      </c>
      <c r="D18" s="112"/>
    </row>
    <row r="19" spans="1:4" x14ac:dyDescent="0.25">
      <c r="A19" s="137" t="s">
        <v>263</v>
      </c>
      <c r="B19" s="138" t="s">
        <v>264</v>
      </c>
      <c r="C19" s="139" t="s">
        <v>626</v>
      </c>
      <c r="D19" s="112"/>
    </row>
    <row r="20" spans="1:4" x14ac:dyDescent="0.25">
      <c r="A20" s="137" t="s">
        <v>265</v>
      </c>
      <c r="B20" s="138" t="s">
        <v>266</v>
      </c>
      <c r="C20" s="139" t="s">
        <v>626</v>
      </c>
      <c r="D20" s="112"/>
    </row>
    <row r="21" spans="1:4" x14ac:dyDescent="0.25">
      <c r="A21" s="137" t="s">
        <v>400</v>
      </c>
      <c r="B21" s="138" t="s">
        <v>401</v>
      </c>
      <c r="C21" s="139" t="s">
        <v>626</v>
      </c>
      <c r="D21" s="112"/>
    </row>
    <row r="22" spans="1:4" x14ac:dyDescent="0.25">
      <c r="A22" s="137" t="s">
        <v>402</v>
      </c>
      <c r="B22" s="138" t="s">
        <v>403</v>
      </c>
      <c r="C22" s="139" t="s">
        <v>626</v>
      </c>
      <c r="D22" s="112"/>
    </row>
    <row r="23" spans="1:4" x14ac:dyDescent="0.25">
      <c r="A23" s="137" t="s">
        <v>277</v>
      </c>
      <c r="B23" s="138" t="s">
        <v>278</v>
      </c>
      <c r="C23" s="139" t="s">
        <v>626</v>
      </c>
      <c r="D23" s="112"/>
    </row>
    <row r="24" spans="1:4" x14ac:dyDescent="0.25">
      <c r="A24" s="137" t="s">
        <v>267</v>
      </c>
      <c r="B24" s="138" t="s">
        <v>268</v>
      </c>
      <c r="C24" s="139" t="s">
        <v>626</v>
      </c>
      <c r="D24" s="112"/>
    </row>
    <row r="25" spans="1:4" x14ac:dyDescent="0.25">
      <c r="A25" s="137" t="s">
        <v>269</v>
      </c>
      <c r="B25" s="138" t="s">
        <v>647</v>
      </c>
      <c r="C25" s="139" t="s">
        <v>626</v>
      </c>
      <c r="D25" s="112"/>
    </row>
    <row r="26" spans="1:4" x14ac:dyDescent="0.25">
      <c r="A26" s="137" t="s">
        <v>270</v>
      </c>
      <c r="B26" s="138" t="s">
        <v>271</v>
      </c>
      <c r="C26" s="139" t="s">
        <v>626</v>
      </c>
      <c r="D26" s="112"/>
    </row>
    <row r="27" spans="1:4" x14ac:dyDescent="0.25">
      <c r="A27" s="137" t="s">
        <v>272</v>
      </c>
      <c r="B27" s="138" t="s">
        <v>273</v>
      </c>
      <c r="C27" s="139" t="s">
        <v>626</v>
      </c>
      <c r="D27" s="112"/>
    </row>
    <row r="28" spans="1:4" x14ac:dyDescent="0.25">
      <c r="A28" s="137" t="s">
        <v>281</v>
      </c>
      <c r="B28" s="138" t="s">
        <v>282</v>
      </c>
      <c r="C28" s="139" t="s">
        <v>626</v>
      </c>
      <c r="D28" s="112"/>
    </row>
    <row r="29" spans="1:4" x14ac:dyDescent="0.25">
      <c r="A29" s="137" t="s">
        <v>279</v>
      </c>
      <c r="B29" s="138" t="s">
        <v>280</v>
      </c>
      <c r="C29" s="139" t="s">
        <v>626</v>
      </c>
      <c r="D29" s="112"/>
    </row>
    <row r="30" spans="1:4" x14ac:dyDescent="0.25">
      <c r="A30" s="137" t="s">
        <v>283</v>
      </c>
      <c r="B30" s="138" t="s">
        <v>284</v>
      </c>
      <c r="C30" s="139" t="s">
        <v>626</v>
      </c>
      <c r="D30" s="112"/>
    </row>
  </sheetData>
  <sheetProtection password="846E" sheet="1" objects="1" scenarios="1"/>
  <autoFilter ref="A1:D30" xr:uid="{EFB1DC85-9C1D-4C4F-959B-CEFD084303C8}"/>
  <sortState xmlns:xlrd2="http://schemas.microsoft.com/office/spreadsheetml/2017/richdata2" ref="A2:D30">
    <sortCondition ref="A2:A3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681F-83F8-4A5D-B5F2-90B800C72CB8}">
  <sheetPr codeName="Sheet4"/>
  <dimension ref="A1:E92"/>
  <sheetViews>
    <sheetView workbookViewId="0">
      <pane ySplit="1" topLeftCell="A23" activePane="bottomLeft" state="frozen"/>
      <selection pane="bottomLeft" activeCell="D1" sqref="D1:D1048576"/>
    </sheetView>
  </sheetViews>
  <sheetFormatPr defaultRowHeight="15" x14ac:dyDescent="0.25"/>
  <cols>
    <col min="1" max="1" width="6.28515625" customWidth="1"/>
    <col min="2" max="2" width="19.28515625" style="152" customWidth="1"/>
    <col min="3" max="3" width="56.42578125" bestFit="1" customWidth="1"/>
    <col min="5" max="5" width="11.28515625" bestFit="1" customWidth="1"/>
  </cols>
  <sheetData>
    <row r="1" spans="1:5" ht="18.75" x14ac:dyDescent="0.25">
      <c r="A1" s="111" t="s">
        <v>181</v>
      </c>
      <c r="B1" s="111" t="s">
        <v>522</v>
      </c>
      <c r="C1" s="111" t="s">
        <v>300</v>
      </c>
      <c r="D1" s="111" t="s">
        <v>183</v>
      </c>
      <c r="E1" s="111" t="s">
        <v>244</v>
      </c>
    </row>
    <row r="2" spans="1:5" x14ac:dyDescent="0.25">
      <c r="A2" s="113">
        <v>1</v>
      </c>
      <c r="B2" s="151" t="s">
        <v>433</v>
      </c>
      <c r="C2" s="114" t="s">
        <v>184</v>
      </c>
      <c r="D2" s="115" t="s">
        <v>126</v>
      </c>
      <c r="E2" s="112"/>
    </row>
    <row r="3" spans="1:5" x14ac:dyDescent="0.25">
      <c r="A3" s="113">
        <v>2</v>
      </c>
      <c r="B3" s="151" t="s">
        <v>434</v>
      </c>
      <c r="C3" s="114" t="s">
        <v>185</v>
      </c>
      <c r="D3" s="115" t="s">
        <v>126</v>
      </c>
      <c r="E3" s="112"/>
    </row>
    <row r="4" spans="1:5" x14ac:dyDescent="0.25">
      <c r="A4" s="113">
        <v>3</v>
      </c>
      <c r="B4" s="151" t="s">
        <v>435</v>
      </c>
      <c r="C4" s="114" t="s">
        <v>186</v>
      </c>
      <c r="D4" s="115" t="s">
        <v>126</v>
      </c>
      <c r="E4" s="112"/>
    </row>
    <row r="5" spans="1:5" x14ac:dyDescent="0.25">
      <c r="A5" s="113">
        <v>4</v>
      </c>
      <c r="B5" s="151" t="s">
        <v>436</v>
      </c>
      <c r="C5" s="114" t="s">
        <v>187</v>
      </c>
      <c r="D5" s="115" t="s">
        <v>126</v>
      </c>
      <c r="E5" s="112"/>
    </row>
    <row r="6" spans="1:5" x14ac:dyDescent="0.25">
      <c r="A6" s="113">
        <v>5</v>
      </c>
      <c r="B6" s="151" t="s">
        <v>437</v>
      </c>
      <c r="C6" s="114" t="s">
        <v>188</v>
      </c>
      <c r="D6" s="115" t="s">
        <v>126</v>
      </c>
      <c r="E6" s="112"/>
    </row>
    <row r="7" spans="1:5" x14ac:dyDescent="0.25">
      <c r="A7" s="113">
        <v>6</v>
      </c>
      <c r="B7" s="151" t="s">
        <v>438</v>
      </c>
      <c r="C7" s="114" t="s">
        <v>189</v>
      </c>
      <c r="D7" s="115" t="s">
        <v>126</v>
      </c>
      <c r="E7" s="112"/>
    </row>
    <row r="8" spans="1:5" x14ac:dyDescent="0.25">
      <c r="A8" s="113">
        <v>7</v>
      </c>
      <c r="B8" s="151" t="s">
        <v>439</v>
      </c>
      <c r="C8" s="114" t="s">
        <v>190</v>
      </c>
      <c r="D8" s="115" t="s">
        <v>126</v>
      </c>
      <c r="E8" s="112"/>
    </row>
    <row r="9" spans="1:5" x14ac:dyDescent="0.25">
      <c r="A9" s="113">
        <v>8</v>
      </c>
      <c r="B9" s="151" t="s">
        <v>440</v>
      </c>
      <c r="C9" s="114" t="s">
        <v>191</v>
      </c>
      <c r="D9" s="115" t="s">
        <v>126</v>
      </c>
      <c r="E9" s="112"/>
    </row>
    <row r="10" spans="1:5" x14ac:dyDescent="0.25">
      <c r="A10" s="113">
        <v>9</v>
      </c>
      <c r="B10" s="151" t="s">
        <v>441</v>
      </c>
      <c r="C10" s="114" t="s">
        <v>192</v>
      </c>
      <c r="D10" s="115" t="s">
        <v>126</v>
      </c>
      <c r="E10" s="112"/>
    </row>
    <row r="11" spans="1:5" x14ac:dyDescent="0.25">
      <c r="A11" s="113">
        <v>10</v>
      </c>
      <c r="B11" s="151" t="s">
        <v>442</v>
      </c>
      <c r="C11" s="114" t="s">
        <v>193</v>
      </c>
      <c r="D11" s="115" t="s">
        <v>126</v>
      </c>
      <c r="E11" s="112"/>
    </row>
    <row r="12" spans="1:5" x14ac:dyDescent="0.25">
      <c r="A12" s="113">
        <v>11</v>
      </c>
      <c r="B12" s="151" t="s">
        <v>443</v>
      </c>
      <c r="C12" s="114" t="s">
        <v>194</v>
      </c>
      <c r="D12" s="115" t="s">
        <v>126</v>
      </c>
      <c r="E12" s="112"/>
    </row>
    <row r="13" spans="1:5" x14ac:dyDescent="0.25">
      <c r="A13" s="113">
        <v>12</v>
      </c>
      <c r="B13" s="151" t="s">
        <v>444</v>
      </c>
      <c r="C13" s="114" t="s">
        <v>195</v>
      </c>
      <c r="D13" s="115" t="s">
        <v>126</v>
      </c>
      <c r="E13" s="112"/>
    </row>
    <row r="14" spans="1:5" x14ac:dyDescent="0.25">
      <c r="A14" s="113">
        <v>13</v>
      </c>
      <c r="B14" s="151" t="s">
        <v>445</v>
      </c>
      <c r="C14" s="114" t="s">
        <v>196</v>
      </c>
      <c r="D14" s="115" t="s">
        <v>126</v>
      </c>
      <c r="E14" s="112"/>
    </row>
    <row r="15" spans="1:5" x14ac:dyDescent="0.25">
      <c r="A15" s="113">
        <v>14</v>
      </c>
      <c r="B15" s="151" t="s">
        <v>446</v>
      </c>
      <c r="C15" s="114" t="s">
        <v>197</v>
      </c>
      <c r="D15" s="115" t="s">
        <v>126</v>
      </c>
      <c r="E15" s="112"/>
    </row>
    <row r="16" spans="1:5" x14ac:dyDescent="0.25">
      <c r="A16" s="113">
        <v>15</v>
      </c>
      <c r="B16" s="151" t="s">
        <v>447</v>
      </c>
      <c r="C16" s="114" t="s">
        <v>198</v>
      </c>
      <c r="D16" s="115" t="s">
        <v>126</v>
      </c>
      <c r="E16" s="112"/>
    </row>
    <row r="17" spans="1:5" x14ac:dyDescent="0.25">
      <c r="A17" s="113">
        <v>16</v>
      </c>
      <c r="B17" s="151" t="s">
        <v>448</v>
      </c>
      <c r="C17" s="114" t="s">
        <v>199</v>
      </c>
      <c r="D17" s="115" t="s">
        <v>126</v>
      </c>
      <c r="E17" s="112"/>
    </row>
    <row r="18" spans="1:5" x14ac:dyDescent="0.25">
      <c r="A18" s="113">
        <v>17</v>
      </c>
      <c r="B18" s="151" t="s">
        <v>449</v>
      </c>
      <c r="C18" s="114" t="s">
        <v>200</v>
      </c>
      <c r="D18" s="115" t="s">
        <v>126</v>
      </c>
      <c r="E18" s="112"/>
    </row>
    <row r="19" spans="1:5" x14ac:dyDescent="0.25">
      <c r="A19" s="113">
        <v>18</v>
      </c>
      <c r="B19" s="151" t="s">
        <v>450</v>
      </c>
      <c r="C19" s="114" t="s">
        <v>139</v>
      </c>
      <c r="D19" s="115" t="s">
        <v>126</v>
      </c>
      <c r="E19" s="112"/>
    </row>
    <row r="20" spans="1:5" x14ac:dyDescent="0.25">
      <c r="A20" s="113">
        <v>19</v>
      </c>
      <c r="B20" s="151" t="s">
        <v>451</v>
      </c>
      <c r="C20" s="114" t="s">
        <v>143</v>
      </c>
      <c r="D20" s="115" t="s">
        <v>126</v>
      </c>
      <c r="E20" s="112"/>
    </row>
    <row r="21" spans="1:5" x14ac:dyDescent="0.25">
      <c r="A21" s="113">
        <v>20</v>
      </c>
      <c r="B21" s="151" t="s">
        <v>452</v>
      </c>
      <c r="C21" s="114" t="s">
        <v>142</v>
      </c>
      <c r="D21" s="115" t="s">
        <v>126</v>
      </c>
      <c r="E21" s="112"/>
    </row>
    <row r="22" spans="1:5" x14ac:dyDescent="0.25">
      <c r="A22" s="113">
        <v>21</v>
      </c>
      <c r="B22" s="151" t="s">
        <v>453</v>
      </c>
      <c r="C22" s="114" t="s">
        <v>145</v>
      </c>
      <c r="D22" s="115" t="s">
        <v>126</v>
      </c>
      <c r="E22" s="112"/>
    </row>
    <row r="23" spans="1:5" x14ac:dyDescent="0.25">
      <c r="A23" s="113">
        <v>22</v>
      </c>
      <c r="B23" s="151" t="s">
        <v>454</v>
      </c>
      <c r="C23" s="114" t="s">
        <v>144</v>
      </c>
      <c r="D23" s="115" t="s">
        <v>126</v>
      </c>
      <c r="E23" s="112"/>
    </row>
    <row r="24" spans="1:5" x14ac:dyDescent="0.25">
      <c r="A24" s="113">
        <v>23</v>
      </c>
      <c r="B24" s="151" t="s">
        <v>455</v>
      </c>
      <c r="C24" s="114" t="s">
        <v>134</v>
      </c>
      <c r="D24" s="115" t="s">
        <v>126</v>
      </c>
      <c r="E24" s="112"/>
    </row>
    <row r="25" spans="1:5" x14ac:dyDescent="0.25">
      <c r="A25" s="113">
        <v>24</v>
      </c>
      <c r="B25" s="151" t="s">
        <v>456</v>
      </c>
      <c r="C25" s="114" t="s">
        <v>134</v>
      </c>
      <c r="D25" s="115" t="s">
        <v>126</v>
      </c>
      <c r="E25" s="112"/>
    </row>
    <row r="26" spans="1:5" x14ac:dyDescent="0.25">
      <c r="A26" s="113">
        <v>25</v>
      </c>
      <c r="B26" s="151" t="s">
        <v>457</v>
      </c>
      <c r="C26" s="114" t="s">
        <v>201</v>
      </c>
      <c r="D26" s="115" t="s">
        <v>126</v>
      </c>
      <c r="E26" s="112"/>
    </row>
    <row r="27" spans="1:5" x14ac:dyDescent="0.25">
      <c r="A27" s="113">
        <v>26</v>
      </c>
      <c r="B27" s="151" t="s">
        <v>458</v>
      </c>
      <c r="C27" s="114" t="s">
        <v>202</v>
      </c>
      <c r="D27" s="115" t="s">
        <v>126</v>
      </c>
      <c r="E27" s="112"/>
    </row>
    <row r="28" spans="1:5" x14ac:dyDescent="0.25">
      <c r="A28" s="113">
        <v>27</v>
      </c>
      <c r="B28" s="151" t="s">
        <v>459</v>
      </c>
      <c r="C28" s="114" t="s">
        <v>203</v>
      </c>
      <c r="D28" s="115" t="s">
        <v>126</v>
      </c>
      <c r="E28" s="112"/>
    </row>
    <row r="29" spans="1:5" x14ac:dyDescent="0.25">
      <c r="A29" s="113">
        <v>28</v>
      </c>
      <c r="B29" s="151" t="s">
        <v>460</v>
      </c>
      <c r="C29" s="114" t="s">
        <v>135</v>
      </c>
      <c r="D29" s="115" t="s">
        <v>126</v>
      </c>
      <c r="E29" s="112"/>
    </row>
    <row r="30" spans="1:5" x14ac:dyDescent="0.25">
      <c r="A30" s="113">
        <v>29</v>
      </c>
      <c r="B30" s="151" t="s">
        <v>461</v>
      </c>
      <c r="C30" s="114" t="s">
        <v>135</v>
      </c>
      <c r="D30" s="115" t="s">
        <v>126</v>
      </c>
      <c r="E30" s="112"/>
    </row>
    <row r="31" spans="1:5" x14ac:dyDescent="0.25">
      <c r="A31" s="113">
        <v>30</v>
      </c>
      <c r="B31" s="151" t="s">
        <v>462</v>
      </c>
      <c r="C31" s="114" t="s">
        <v>204</v>
      </c>
      <c r="D31" s="115" t="s">
        <v>126</v>
      </c>
      <c r="E31" s="112"/>
    </row>
    <row r="32" spans="1:5" x14ac:dyDescent="0.25">
      <c r="A32" s="113">
        <v>31</v>
      </c>
      <c r="B32" s="151" t="s">
        <v>463</v>
      </c>
      <c r="C32" s="114" t="s">
        <v>205</v>
      </c>
      <c r="D32" s="115" t="s">
        <v>126</v>
      </c>
      <c r="E32" s="112"/>
    </row>
    <row r="33" spans="1:5" x14ac:dyDescent="0.25">
      <c r="A33" s="113">
        <v>32</v>
      </c>
      <c r="B33" s="151" t="s">
        <v>464</v>
      </c>
      <c r="C33" s="114" t="s">
        <v>146</v>
      </c>
      <c r="D33" s="115" t="s">
        <v>125</v>
      </c>
      <c r="E33" s="112"/>
    </row>
    <row r="34" spans="1:5" x14ac:dyDescent="0.25">
      <c r="A34" s="113">
        <v>33</v>
      </c>
      <c r="B34" s="151" t="s">
        <v>465</v>
      </c>
      <c r="C34" s="114" t="s">
        <v>206</v>
      </c>
      <c r="D34" s="115" t="s">
        <v>125</v>
      </c>
      <c r="E34" s="112"/>
    </row>
    <row r="35" spans="1:5" x14ac:dyDescent="0.25">
      <c r="A35" s="113">
        <v>34</v>
      </c>
      <c r="B35" s="151" t="s">
        <v>466</v>
      </c>
      <c r="C35" s="114" t="s">
        <v>207</v>
      </c>
      <c r="D35" s="115" t="s">
        <v>125</v>
      </c>
      <c r="E35" s="112"/>
    </row>
    <row r="36" spans="1:5" x14ac:dyDescent="0.25">
      <c r="A36" s="113">
        <v>35</v>
      </c>
      <c r="B36" s="151" t="s">
        <v>467</v>
      </c>
      <c r="C36" s="114" t="s">
        <v>208</v>
      </c>
      <c r="D36" s="115" t="s">
        <v>125</v>
      </c>
      <c r="E36" s="112"/>
    </row>
    <row r="37" spans="1:5" x14ac:dyDescent="0.25">
      <c r="A37" s="113">
        <v>36</v>
      </c>
      <c r="B37" s="151" t="s">
        <v>468</v>
      </c>
      <c r="C37" s="114" t="s">
        <v>209</v>
      </c>
      <c r="D37" s="115" t="s">
        <v>125</v>
      </c>
      <c r="E37" s="112"/>
    </row>
    <row r="38" spans="1:5" x14ac:dyDescent="0.25">
      <c r="A38" s="113">
        <v>37</v>
      </c>
      <c r="B38" s="151" t="s">
        <v>469</v>
      </c>
      <c r="C38" s="114" t="s">
        <v>210</v>
      </c>
      <c r="D38" s="115" t="s">
        <v>125</v>
      </c>
      <c r="E38" s="112"/>
    </row>
    <row r="39" spans="1:5" x14ac:dyDescent="0.25">
      <c r="A39" s="113">
        <v>38</v>
      </c>
      <c r="B39" s="151" t="s">
        <v>470</v>
      </c>
      <c r="C39" s="114" t="s">
        <v>211</v>
      </c>
      <c r="D39" s="115" t="s">
        <v>125</v>
      </c>
      <c r="E39" s="112"/>
    </row>
    <row r="40" spans="1:5" x14ac:dyDescent="0.25">
      <c r="A40" s="113">
        <v>39</v>
      </c>
      <c r="B40" s="151" t="s">
        <v>471</v>
      </c>
      <c r="C40" s="114" t="s">
        <v>212</v>
      </c>
      <c r="D40" s="115" t="s">
        <v>125</v>
      </c>
      <c r="E40" s="112"/>
    </row>
    <row r="41" spans="1:5" x14ac:dyDescent="0.25">
      <c r="A41" s="113">
        <v>40</v>
      </c>
      <c r="B41" s="151" t="s">
        <v>472</v>
      </c>
      <c r="C41" s="114" t="s">
        <v>213</v>
      </c>
      <c r="D41" s="115" t="s">
        <v>125</v>
      </c>
      <c r="E41" s="112"/>
    </row>
    <row r="42" spans="1:5" x14ac:dyDescent="0.25">
      <c r="A42" s="113">
        <v>41</v>
      </c>
      <c r="B42" s="151" t="s">
        <v>473</v>
      </c>
      <c r="C42" s="114" t="s">
        <v>138</v>
      </c>
      <c r="D42" s="115" t="s">
        <v>126</v>
      </c>
      <c r="E42" s="112"/>
    </row>
    <row r="43" spans="1:5" x14ac:dyDescent="0.25">
      <c r="A43" s="113">
        <v>42</v>
      </c>
      <c r="B43" s="151" t="s">
        <v>474</v>
      </c>
      <c r="C43" s="114" t="s">
        <v>137</v>
      </c>
      <c r="D43" s="115" t="s">
        <v>126</v>
      </c>
      <c r="E43" s="112"/>
    </row>
    <row r="44" spans="1:5" x14ac:dyDescent="0.25">
      <c r="A44" s="113">
        <v>43</v>
      </c>
      <c r="B44" s="151" t="s">
        <v>475</v>
      </c>
      <c r="C44" s="114" t="s">
        <v>136</v>
      </c>
      <c r="D44" s="115" t="s">
        <v>126</v>
      </c>
      <c r="E44" s="112"/>
    </row>
    <row r="45" spans="1:5" x14ac:dyDescent="0.25">
      <c r="A45" s="113">
        <v>44</v>
      </c>
      <c r="B45" s="151" t="s">
        <v>476</v>
      </c>
      <c r="C45" s="114" t="s">
        <v>214</v>
      </c>
      <c r="D45" s="115" t="s">
        <v>628</v>
      </c>
      <c r="E45" s="112"/>
    </row>
    <row r="46" spans="1:5" x14ac:dyDescent="0.25">
      <c r="A46" s="113">
        <v>45</v>
      </c>
      <c r="B46" s="151" t="s">
        <v>477</v>
      </c>
      <c r="C46" s="114" t="s">
        <v>215</v>
      </c>
      <c r="D46" s="115" t="s">
        <v>628</v>
      </c>
      <c r="E46" s="112"/>
    </row>
    <row r="47" spans="1:5" x14ac:dyDescent="0.25">
      <c r="A47" s="113">
        <v>46</v>
      </c>
      <c r="B47" s="151" t="s">
        <v>478</v>
      </c>
      <c r="C47" s="114" t="s">
        <v>216</v>
      </c>
      <c r="D47" s="115" t="s">
        <v>628</v>
      </c>
      <c r="E47" s="112"/>
    </row>
    <row r="48" spans="1:5" x14ac:dyDescent="0.25">
      <c r="A48" s="113">
        <v>47</v>
      </c>
      <c r="B48" s="151" t="s">
        <v>479</v>
      </c>
      <c r="C48" s="114" t="s">
        <v>217</v>
      </c>
      <c r="D48" s="115" t="s">
        <v>628</v>
      </c>
      <c r="E48" s="112"/>
    </row>
    <row r="49" spans="1:5" x14ac:dyDescent="0.25">
      <c r="A49" s="113">
        <v>48</v>
      </c>
      <c r="B49" s="151" t="s">
        <v>480</v>
      </c>
      <c r="C49" s="114" t="s">
        <v>218</v>
      </c>
      <c r="D49" s="115" t="s">
        <v>628</v>
      </c>
      <c r="E49" s="112"/>
    </row>
    <row r="50" spans="1:5" x14ac:dyDescent="0.25">
      <c r="A50" s="113">
        <v>49</v>
      </c>
      <c r="B50" s="151" t="s">
        <v>481</v>
      </c>
      <c r="C50" s="114" t="s">
        <v>219</v>
      </c>
      <c r="D50" s="115" t="s">
        <v>628</v>
      </c>
      <c r="E50" s="112"/>
    </row>
    <row r="51" spans="1:5" x14ac:dyDescent="0.25">
      <c r="A51" s="113">
        <v>50</v>
      </c>
      <c r="B51" s="151" t="s">
        <v>482</v>
      </c>
      <c r="C51" s="114" t="s">
        <v>153</v>
      </c>
      <c r="D51" s="115" t="s">
        <v>220</v>
      </c>
      <c r="E51" s="112"/>
    </row>
    <row r="52" spans="1:5" x14ac:dyDescent="0.25">
      <c r="A52" s="113">
        <v>51</v>
      </c>
      <c r="B52" s="151" t="s">
        <v>483</v>
      </c>
      <c r="C52" s="114" t="s">
        <v>132</v>
      </c>
      <c r="D52" s="115" t="s">
        <v>126</v>
      </c>
      <c r="E52" s="112"/>
    </row>
    <row r="53" spans="1:5" x14ac:dyDescent="0.25">
      <c r="A53" s="113">
        <v>52</v>
      </c>
      <c r="B53" s="151" t="s">
        <v>484</v>
      </c>
      <c r="C53" s="114" t="s">
        <v>221</v>
      </c>
      <c r="D53" s="115" t="s">
        <v>628</v>
      </c>
      <c r="E53" s="112"/>
    </row>
    <row r="54" spans="1:5" x14ac:dyDescent="0.25">
      <c r="A54" s="113">
        <v>53</v>
      </c>
      <c r="B54" s="151" t="s">
        <v>485</v>
      </c>
      <c r="C54" s="114" t="s">
        <v>222</v>
      </c>
      <c r="D54" s="115" t="s">
        <v>628</v>
      </c>
      <c r="E54" s="112"/>
    </row>
    <row r="55" spans="1:5" x14ac:dyDescent="0.25">
      <c r="A55" s="113">
        <v>54</v>
      </c>
      <c r="B55" s="151" t="s">
        <v>486</v>
      </c>
      <c r="C55" s="114" t="s">
        <v>223</v>
      </c>
      <c r="D55" s="115" t="s">
        <v>126</v>
      </c>
      <c r="E55" s="112"/>
    </row>
    <row r="56" spans="1:5" x14ac:dyDescent="0.25">
      <c r="A56" s="113">
        <v>55</v>
      </c>
      <c r="B56" s="151" t="s">
        <v>487</v>
      </c>
      <c r="C56" s="114" t="s">
        <v>224</v>
      </c>
      <c r="D56" s="115" t="s">
        <v>126</v>
      </c>
      <c r="E56" s="112"/>
    </row>
    <row r="57" spans="1:5" x14ac:dyDescent="0.25">
      <c r="A57" s="113">
        <v>56</v>
      </c>
      <c r="B57" s="151" t="s">
        <v>488</v>
      </c>
      <c r="C57" s="114" t="s">
        <v>225</v>
      </c>
      <c r="D57" s="115" t="s">
        <v>126</v>
      </c>
      <c r="E57" s="112"/>
    </row>
    <row r="58" spans="1:5" x14ac:dyDescent="0.25">
      <c r="A58" s="113">
        <v>57</v>
      </c>
      <c r="B58" s="151" t="s">
        <v>489</v>
      </c>
      <c r="C58" s="116" t="s">
        <v>150</v>
      </c>
      <c r="D58" s="115" t="s">
        <v>126</v>
      </c>
      <c r="E58" s="112"/>
    </row>
    <row r="59" spans="1:5" x14ac:dyDescent="0.25">
      <c r="A59" s="113">
        <v>58</v>
      </c>
      <c r="B59" s="151" t="s">
        <v>490</v>
      </c>
      <c r="C59" s="116" t="s">
        <v>154</v>
      </c>
      <c r="D59" s="115" t="s">
        <v>174</v>
      </c>
      <c r="E59" s="112"/>
    </row>
    <row r="60" spans="1:5" x14ac:dyDescent="0.25">
      <c r="A60" s="113">
        <v>59</v>
      </c>
      <c r="B60" s="151" t="s">
        <v>491</v>
      </c>
      <c r="C60" s="116" t="s">
        <v>226</v>
      </c>
      <c r="D60" s="115" t="s">
        <v>174</v>
      </c>
      <c r="E60" s="112"/>
    </row>
    <row r="61" spans="1:5" x14ac:dyDescent="0.25">
      <c r="A61" s="113">
        <v>60</v>
      </c>
      <c r="B61" s="151" t="s">
        <v>492</v>
      </c>
      <c r="C61" s="116" t="s">
        <v>227</v>
      </c>
      <c r="D61" s="115" t="s">
        <v>174</v>
      </c>
      <c r="E61" s="112"/>
    </row>
    <row r="62" spans="1:5" x14ac:dyDescent="0.25">
      <c r="A62" s="113">
        <v>61</v>
      </c>
      <c r="B62" s="151" t="s">
        <v>493</v>
      </c>
      <c r="C62" s="116" t="s">
        <v>228</v>
      </c>
      <c r="D62" s="115" t="s">
        <v>174</v>
      </c>
      <c r="E62" s="112"/>
    </row>
    <row r="63" spans="1:5" x14ac:dyDescent="0.25">
      <c r="A63" s="113">
        <v>62</v>
      </c>
      <c r="B63" s="151" t="s">
        <v>494</v>
      </c>
      <c r="C63" s="116" t="s">
        <v>229</v>
      </c>
      <c r="D63" s="115" t="s">
        <v>174</v>
      </c>
      <c r="E63" s="112"/>
    </row>
    <row r="64" spans="1:5" x14ac:dyDescent="0.25">
      <c r="A64" s="113">
        <v>63</v>
      </c>
      <c r="B64" s="151" t="s">
        <v>495</v>
      </c>
      <c r="C64" s="114" t="s">
        <v>131</v>
      </c>
      <c r="D64" s="115" t="s">
        <v>126</v>
      </c>
      <c r="E64" s="112"/>
    </row>
    <row r="65" spans="1:5" x14ac:dyDescent="0.25">
      <c r="A65" s="113">
        <v>64</v>
      </c>
      <c r="B65" s="151" t="s">
        <v>496</v>
      </c>
      <c r="C65" s="114" t="s">
        <v>127</v>
      </c>
      <c r="D65" s="115" t="s">
        <v>125</v>
      </c>
      <c r="E65" s="112"/>
    </row>
    <row r="66" spans="1:5" x14ac:dyDescent="0.25">
      <c r="A66" s="113">
        <v>65</v>
      </c>
      <c r="B66" s="151" t="s">
        <v>497</v>
      </c>
      <c r="C66" s="114" t="s">
        <v>130</v>
      </c>
      <c r="D66" s="115" t="s">
        <v>126</v>
      </c>
      <c r="E66" s="112"/>
    </row>
    <row r="67" spans="1:5" x14ac:dyDescent="0.25">
      <c r="A67" s="113">
        <v>66</v>
      </c>
      <c r="B67" s="151" t="s">
        <v>498</v>
      </c>
      <c r="C67" s="114" t="s">
        <v>230</v>
      </c>
      <c r="D67" s="115" t="s">
        <v>126</v>
      </c>
      <c r="E67" s="112"/>
    </row>
    <row r="68" spans="1:5" x14ac:dyDescent="0.25">
      <c r="A68" s="113">
        <v>67</v>
      </c>
      <c r="B68" s="151" t="s">
        <v>499</v>
      </c>
      <c r="C68" s="114" t="s">
        <v>231</v>
      </c>
      <c r="D68" s="115" t="s">
        <v>126</v>
      </c>
      <c r="E68" s="112"/>
    </row>
    <row r="69" spans="1:5" x14ac:dyDescent="0.25">
      <c r="A69" s="113">
        <v>68</v>
      </c>
      <c r="B69" s="151" t="s">
        <v>500</v>
      </c>
      <c r="C69" s="116" t="s">
        <v>232</v>
      </c>
      <c r="D69" s="115" t="s">
        <v>126</v>
      </c>
      <c r="E69" s="112"/>
    </row>
    <row r="70" spans="1:5" x14ac:dyDescent="0.25">
      <c r="A70" s="113">
        <v>69</v>
      </c>
      <c r="B70" s="151" t="s">
        <v>501</v>
      </c>
      <c r="C70" s="116" t="s">
        <v>233</v>
      </c>
      <c r="D70" s="115" t="s">
        <v>126</v>
      </c>
      <c r="E70" s="112"/>
    </row>
    <row r="71" spans="1:5" x14ac:dyDescent="0.25">
      <c r="A71" s="113">
        <v>70</v>
      </c>
      <c r="B71" s="151" t="s">
        <v>502</v>
      </c>
      <c r="C71" s="116" t="s">
        <v>234</v>
      </c>
      <c r="D71" s="115" t="s">
        <v>126</v>
      </c>
      <c r="E71" s="112"/>
    </row>
    <row r="72" spans="1:5" x14ac:dyDescent="0.25">
      <c r="A72" s="113">
        <v>71</v>
      </c>
      <c r="B72" s="151" t="s">
        <v>503</v>
      </c>
      <c r="C72" s="116" t="s">
        <v>235</v>
      </c>
      <c r="D72" s="115" t="s">
        <v>126</v>
      </c>
      <c r="E72" s="112"/>
    </row>
    <row r="73" spans="1:5" x14ac:dyDescent="0.25">
      <c r="A73" s="113">
        <v>72</v>
      </c>
      <c r="B73" s="151" t="s">
        <v>504</v>
      </c>
      <c r="C73" s="116" t="s">
        <v>151</v>
      </c>
      <c r="D73" s="115" t="s">
        <v>126</v>
      </c>
      <c r="E73" s="112"/>
    </row>
    <row r="74" spans="1:5" x14ac:dyDescent="0.25">
      <c r="A74" s="113">
        <v>73</v>
      </c>
      <c r="B74" s="151" t="s">
        <v>650</v>
      </c>
      <c r="C74" s="116" t="s">
        <v>648</v>
      </c>
      <c r="D74" s="115" t="s">
        <v>126</v>
      </c>
      <c r="E74" s="112"/>
    </row>
    <row r="75" spans="1:5" x14ac:dyDescent="0.25">
      <c r="A75" s="113">
        <v>74</v>
      </c>
      <c r="B75" s="151" t="s">
        <v>651</v>
      </c>
      <c r="C75" s="116" t="s">
        <v>649</v>
      </c>
      <c r="D75" s="115" t="s">
        <v>126</v>
      </c>
      <c r="E75" s="112"/>
    </row>
    <row r="76" spans="1:5" x14ac:dyDescent="0.25">
      <c r="A76" s="113">
        <v>75</v>
      </c>
      <c r="B76" s="151" t="s">
        <v>505</v>
      </c>
      <c r="C76" s="116" t="s">
        <v>236</v>
      </c>
      <c r="D76" s="115" t="s">
        <v>126</v>
      </c>
      <c r="E76" s="112"/>
    </row>
    <row r="77" spans="1:5" x14ac:dyDescent="0.25">
      <c r="A77" s="113">
        <v>76</v>
      </c>
      <c r="B77" s="151" t="s">
        <v>506</v>
      </c>
      <c r="C77" s="114" t="s">
        <v>152</v>
      </c>
      <c r="D77" s="115" t="s">
        <v>126</v>
      </c>
      <c r="E77" s="112"/>
    </row>
    <row r="78" spans="1:5" x14ac:dyDescent="0.25">
      <c r="A78" s="113">
        <v>77</v>
      </c>
      <c r="B78" s="151" t="s">
        <v>507</v>
      </c>
      <c r="C78" s="114" t="s">
        <v>237</v>
      </c>
      <c r="D78" s="115" t="s">
        <v>628</v>
      </c>
      <c r="E78" s="112"/>
    </row>
    <row r="79" spans="1:5" x14ac:dyDescent="0.25">
      <c r="A79" s="113">
        <v>78</v>
      </c>
      <c r="B79" s="151" t="s">
        <v>508</v>
      </c>
      <c r="C79" s="114" t="s">
        <v>238</v>
      </c>
      <c r="D79" s="115" t="s">
        <v>628</v>
      </c>
      <c r="E79" s="112"/>
    </row>
    <row r="80" spans="1:5" x14ac:dyDescent="0.25">
      <c r="A80" s="113">
        <v>79</v>
      </c>
      <c r="B80" s="151" t="s">
        <v>509</v>
      </c>
      <c r="C80" s="114" t="s">
        <v>239</v>
      </c>
      <c r="D80" s="115" t="s">
        <v>628</v>
      </c>
      <c r="E80" s="112"/>
    </row>
    <row r="81" spans="1:5" x14ac:dyDescent="0.25">
      <c r="A81" s="113">
        <v>80</v>
      </c>
      <c r="B81" s="151" t="s">
        <v>510</v>
      </c>
      <c r="C81" s="116" t="s">
        <v>240</v>
      </c>
      <c r="D81" s="115" t="s">
        <v>628</v>
      </c>
      <c r="E81" s="112"/>
    </row>
    <row r="82" spans="1:5" x14ac:dyDescent="0.25">
      <c r="A82" s="113">
        <v>81</v>
      </c>
      <c r="B82" s="151" t="s">
        <v>511</v>
      </c>
      <c r="C82" s="116" t="s">
        <v>140</v>
      </c>
      <c r="D82" s="115" t="s">
        <v>126</v>
      </c>
      <c r="E82" s="112"/>
    </row>
    <row r="83" spans="1:5" x14ac:dyDescent="0.25">
      <c r="A83" s="113">
        <v>82</v>
      </c>
      <c r="B83" s="151" t="s">
        <v>512</v>
      </c>
      <c r="C83" s="116" t="s">
        <v>128</v>
      </c>
      <c r="D83" s="115" t="s">
        <v>126</v>
      </c>
      <c r="E83" s="112"/>
    </row>
    <row r="84" spans="1:5" x14ac:dyDescent="0.25">
      <c r="A84" s="113">
        <v>83</v>
      </c>
      <c r="B84" s="151" t="s">
        <v>513</v>
      </c>
      <c r="C84" s="114" t="s">
        <v>241</v>
      </c>
      <c r="D84" s="115" t="s">
        <v>220</v>
      </c>
      <c r="E84" s="112"/>
    </row>
    <row r="85" spans="1:5" x14ac:dyDescent="0.25">
      <c r="A85" s="113">
        <v>84</v>
      </c>
      <c r="B85" s="151" t="s">
        <v>514</v>
      </c>
      <c r="C85" s="114" t="s">
        <v>129</v>
      </c>
      <c r="D85" s="115" t="s">
        <v>126</v>
      </c>
      <c r="E85" s="112"/>
    </row>
    <row r="86" spans="1:5" x14ac:dyDescent="0.25">
      <c r="A86" s="113">
        <v>85</v>
      </c>
      <c r="B86" s="151" t="s">
        <v>515</v>
      </c>
      <c r="C86" s="116" t="s">
        <v>148</v>
      </c>
      <c r="D86" s="117" t="s">
        <v>126</v>
      </c>
      <c r="E86" s="112"/>
    </row>
    <row r="87" spans="1:5" x14ac:dyDescent="0.25">
      <c r="A87" s="113">
        <v>86</v>
      </c>
      <c r="B87" s="151" t="s">
        <v>516</v>
      </c>
      <c r="C87" s="116" t="s">
        <v>147</v>
      </c>
      <c r="D87" s="117" t="s">
        <v>126</v>
      </c>
      <c r="E87" s="112"/>
    </row>
    <row r="88" spans="1:5" x14ac:dyDescent="0.25">
      <c r="A88" s="113">
        <v>87</v>
      </c>
      <c r="B88" s="151" t="s">
        <v>517</v>
      </c>
      <c r="C88" s="116" t="s">
        <v>242</v>
      </c>
      <c r="D88" s="117" t="s">
        <v>126</v>
      </c>
      <c r="E88" s="112"/>
    </row>
    <row r="89" spans="1:5" x14ac:dyDescent="0.25">
      <c r="A89" s="113">
        <v>88</v>
      </c>
      <c r="B89" s="151" t="s">
        <v>518</v>
      </c>
      <c r="C89" s="116" t="s">
        <v>243</v>
      </c>
      <c r="D89" s="117" t="s">
        <v>126</v>
      </c>
      <c r="E89" s="112"/>
    </row>
    <row r="90" spans="1:5" x14ac:dyDescent="0.25">
      <c r="A90" s="113">
        <v>89</v>
      </c>
      <c r="B90" s="151" t="s">
        <v>519</v>
      </c>
      <c r="C90" s="114" t="s">
        <v>149</v>
      </c>
      <c r="D90" s="115" t="s">
        <v>126</v>
      </c>
      <c r="E90" s="112"/>
    </row>
    <row r="91" spans="1:5" x14ac:dyDescent="0.25">
      <c r="A91" s="113">
        <v>90</v>
      </c>
      <c r="B91" s="151" t="s">
        <v>520</v>
      </c>
      <c r="C91" s="114" t="s">
        <v>133</v>
      </c>
      <c r="D91" s="115" t="s">
        <v>628</v>
      </c>
      <c r="E91" s="112"/>
    </row>
    <row r="92" spans="1:5" x14ac:dyDescent="0.25">
      <c r="A92" s="113">
        <v>91</v>
      </c>
      <c r="B92" s="151" t="s">
        <v>521</v>
      </c>
      <c r="C92" s="114" t="s">
        <v>141</v>
      </c>
      <c r="D92" s="115" t="s">
        <v>126</v>
      </c>
      <c r="E92" s="112"/>
    </row>
  </sheetData>
  <sheetProtection password="846E" sheet="1" objects="1" scenarios="1"/>
  <autoFilter ref="A1:E92" xr:uid="{41CA0888-B7B1-478D-B3A3-0E4525886DDA}"/>
  <conditionalFormatting sqref="B1:B1048576">
    <cfRule type="duplicateValues" dxfId="2" priority="1"/>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E45A1-74DC-4176-98B8-1B5F2D9CECB4}">
  <sheetPr codeName="Sheet5"/>
  <dimension ref="A1:G25"/>
  <sheetViews>
    <sheetView tabSelected="1" workbookViewId="0">
      <pane ySplit="1" topLeftCell="A2" activePane="bottomLeft" state="frozen"/>
      <selection pane="bottomLeft" activeCell="E2" sqref="E2"/>
    </sheetView>
  </sheetViews>
  <sheetFormatPr defaultColWidth="22.140625" defaultRowHeight="15" x14ac:dyDescent="0.25"/>
  <cols>
    <col min="1" max="1" width="5" customWidth="1"/>
    <col min="2" max="2" width="26.140625" customWidth="1"/>
    <col min="3" max="3" width="19.28515625" style="142" customWidth="1"/>
    <col min="4" max="4" width="12.140625" bestFit="1" customWidth="1"/>
    <col min="5" max="5" width="9.7109375" bestFit="1" customWidth="1"/>
    <col min="6" max="6" width="127.28515625" style="147" customWidth="1"/>
  </cols>
  <sheetData>
    <row r="1" spans="1:7" ht="33.75" customHeight="1" x14ac:dyDescent="0.25">
      <c r="A1" s="92" t="s">
        <v>181</v>
      </c>
      <c r="B1" s="92" t="s">
        <v>182</v>
      </c>
      <c r="C1" s="92" t="s">
        <v>432</v>
      </c>
      <c r="D1" s="92" t="s">
        <v>183</v>
      </c>
      <c r="E1" s="93" t="s">
        <v>244</v>
      </c>
      <c r="F1" s="147" t="str">
        <f>IF(G1=TRUE,"","Se poate efectua doar o interventie.
Se completeaza 1 doar intr-una dintre celulele galbene ")</f>
        <v/>
      </c>
      <c r="G1" s="157" t="b">
        <f>IFERROR(IF(E4+E5+E6+E7+E8+E9+E10&lt;=1, TRUE, FALSE),FALSE)</f>
        <v>1</v>
      </c>
    </row>
    <row r="2" spans="1:7" ht="30" x14ac:dyDescent="0.25">
      <c r="A2" s="104">
        <v>1</v>
      </c>
      <c r="B2" s="105" t="s">
        <v>286</v>
      </c>
      <c r="C2" s="142" t="s">
        <v>156</v>
      </c>
      <c r="D2" s="106" t="s">
        <v>160</v>
      </c>
      <c r="E2" s="148"/>
      <c r="F2" s="146" t="s">
        <v>287</v>
      </c>
    </row>
    <row r="3" spans="1:7" ht="75" x14ac:dyDescent="0.25">
      <c r="A3" s="104">
        <v>2</v>
      </c>
      <c r="B3" s="105" t="s">
        <v>155</v>
      </c>
      <c r="C3" s="143" t="s">
        <v>156</v>
      </c>
      <c r="D3" s="106" t="s">
        <v>157</v>
      </c>
      <c r="E3" s="148"/>
      <c r="F3" s="140" t="s">
        <v>404</v>
      </c>
    </row>
    <row r="4" spans="1:7" ht="105" x14ac:dyDescent="0.25">
      <c r="A4" s="104">
        <v>3</v>
      </c>
      <c r="B4" s="105" t="s">
        <v>158</v>
      </c>
      <c r="C4" s="143" t="s">
        <v>159</v>
      </c>
      <c r="D4" s="107" t="s">
        <v>160</v>
      </c>
      <c r="E4" s="149"/>
      <c r="F4" s="108" t="s">
        <v>405</v>
      </c>
    </row>
    <row r="5" spans="1:7" ht="105" x14ac:dyDescent="0.25">
      <c r="A5" s="104">
        <v>4</v>
      </c>
      <c r="B5" s="105" t="s">
        <v>158</v>
      </c>
      <c r="C5" s="143" t="s">
        <v>161</v>
      </c>
      <c r="D5" s="107" t="s">
        <v>160</v>
      </c>
      <c r="E5" s="149"/>
      <c r="F5" s="108" t="s">
        <v>406</v>
      </c>
    </row>
    <row r="6" spans="1:7" ht="105" x14ac:dyDescent="0.25">
      <c r="A6" s="104">
        <v>5</v>
      </c>
      <c r="B6" s="105" t="s">
        <v>158</v>
      </c>
      <c r="C6" s="143" t="s">
        <v>162</v>
      </c>
      <c r="D6" s="107" t="s">
        <v>160</v>
      </c>
      <c r="E6" s="149"/>
      <c r="F6" s="108" t="s">
        <v>407</v>
      </c>
    </row>
    <row r="7" spans="1:7" ht="105" x14ac:dyDescent="0.25">
      <c r="A7" s="104">
        <v>6</v>
      </c>
      <c r="B7" s="105" t="s">
        <v>158</v>
      </c>
      <c r="C7" s="144" t="s">
        <v>408</v>
      </c>
      <c r="D7" s="107" t="s">
        <v>160</v>
      </c>
      <c r="E7" s="149"/>
      <c r="F7" s="140" t="s">
        <v>409</v>
      </c>
    </row>
    <row r="8" spans="1:7" ht="105" x14ac:dyDescent="0.25">
      <c r="A8" s="104">
        <v>7</v>
      </c>
      <c r="B8" s="105" t="s">
        <v>158</v>
      </c>
      <c r="C8" s="143" t="s">
        <v>163</v>
      </c>
      <c r="D8" s="107" t="s">
        <v>160</v>
      </c>
      <c r="E8" s="149"/>
      <c r="F8" s="108" t="s">
        <v>410</v>
      </c>
    </row>
    <row r="9" spans="1:7" ht="105" x14ac:dyDescent="0.25">
      <c r="A9" s="104">
        <v>8</v>
      </c>
      <c r="B9" s="105" t="s">
        <v>158</v>
      </c>
      <c r="C9" s="144" t="s">
        <v>411</v>
      </c>
      <c r="D9" s="107" t="s">
        <v>160</v>
      </c>
      <c r="E9" s="149"/>
      <c r="F9" s="140" t="s">
        <v>412</v>
      </c>
    </row>
    <row r="10" spans="1:7" ht="105" x14ac:dyDescent="0.25">
      <c r="A10" s="104">
        <v>9</v>
      </c>
      <c r="B10" s="105" t="s">
        <v>158</v>
      </c>
      <c r="C10" s="144" t="s">
        <v>413</v>
      </c>
      <c r="D10" s="107" t="s">
        <v>160</v>
      </c>
      <c r="E10" s="149"/>
      <c r="F10" s="140" t="s">
        <v>414</v>
      </c>
    </row>
    <row r="11" spans="1:7" ht="30" x14ac:dyDescent="0.25">
      <c r="A11" s="104">
        <v>10</v>
      </c>
      <c r="B11" s="105" t="s">
        <v>158</v>
      </c>
      <c r="C11" s="145" t="s">
        <v>415</v>
      </c>
      <c r="D11" s="109" t="s">
        <v>165</v>
      </c>
      <c r="E11" s="150"/>
      <c r="F11" s="110" t="s">
        <v>164</v>
      </c>
    </row>
    <row r="12" spans="1:7" ht="30" x14ac:dyDescent="0.25">
      <c r="A12" s="104">
        <v>11</v>
      </c>
      <c r="B12" s="105" t="s">
        <v>158</v>
      </c>
      <c r="C12" s="145" t="s">
        <v>416</v>
      </c>
      <c r="D12" s="109" t="s">
        <v>165</v>
      </c>
      <c r="E12" s="150"/>
      <c r="F12" s="110" t="s">
        <v>166</v>
      </c>
    </row>
    <row r="13" spans="1:7" ht="30" x14ac:dyDescent="0.25">
      <c r="A13" s="104">
        <v>12</v>
      </c>
      <c r="B13" s="105" t="s">
        <v>158</v>
      </c>
      <c r="C13" s="145" t="s">
        <v>417</v>
      </c>
      <c r="D13" s="109" t="s">
        <v>126</v>
      </c>
      <c r="E13" s="150"/>
      <c r="F13" s="141" t="s">
        <v>167</v>
      </c>
    </row>
    <row r="14" spans="1:7" ht="30" x14ac:dyDescent="0.25">
      <c r="A14" s="104">
        <v>13</v>
      </c>
      <c r="B14" s="105" t="s">
        <v>158</v>
      </c>
      <c r="C14" s="145" t="s">
        <v>418</v>
      </c>
      <c r="D14" s="109" t="s">
        <v>126</v>
      </c>
      <c r="E14" s="150"/>
      <c r="F14" s="141" t="s">
        <v>168</v>
      </c>
    </row>
    <row r="15" spans="1:7" ht="30" x14ac:dyDescent="0.25">
      <c r="A15" s="104">
        <v>14</v>
      </c>
      <c r="B15" s="105" t="s">
        <v>158</v>
      </c>
      <c r="C15" s="145" t="s">
        <v>419</v>
      </c>
      <c r="D15" s="109" t="s">
        <v>126</v>
      </c>
      <c r="E15" s="150"/>
      <c r="F15" s="141" t="s">
        <v>169</v>
      </c>
    </row>
    <row r="16" spans="1:7" ht="30" x14ac:dyDescent="0.25">
      <c r="A16" s="104">
        <v>15</v>
      </c>
      <c r="B16" s="105" t="s">
        <v>158</v>
      </c>
      <c r="C16" s="145" t="s">
        <v>420</v>
      </c>
      <c r="D16" s="109" t="s">
        <v>126</v>
      </c>
      <c r="E16" s="150"/>
      <c r="F16" s="141" t="s">
        <v>170</v>
      </c>
    </row>
    <row r="17" spans="1:6" ht="30" x14ac:dyDescent="0.25">
      <c r="A17" s="104">
        <v>16</v>
      </c>
      <c r="B17" s="105" t="s">
        <v>158</v>
      </c>
      <c r="C17" s="145" t="s">
        <v>421</v>
      </c>
      <c r="D17" s="109" t="s">
        <v>126</v>
      </c>
      <c r="E17" s="150"/>
      <c r="F17" s="141" t="s">
        <v>171</v>
      </c>
    </row>
    <row r="18" spans="1:6" ht="30" x14ac:dyDescent="0.25">
      <c r="A18" s="104">
        <v>17</v>
      </c>
      <c r="B18" s="105" t="s">
        <v>158</v>
      </c>
      <c r="C18" s="145" t="s">
        <v>422</v>
      </c>
      <c r="D18" s="109" t="s">
        <v>165</v>
      </c>
      <c r="E18" s="150"/>
      <c r="F18" s="141" t="s">
        <v>172</v>
      </c>
    </row>
    <row r="19" spans="1:6" ht="45" x14ac:dyDescent="0.25">
      <c r="A19" s="104">
        <v>18</v>
      </c>
      <c r="B19" s="105" t="s">
        <v>158</v>
      </c>
      <c r="C19" s="145" t="s">
        <v>423</v>
      </c>
      <c r="D19" s="109" t="s">
        <v>174</v>
      </c>
      <c r="E19" s="150"/>
      <c r="F19" s="110" t="s">
        <v>173</v>
      </c>
    </row>
    <row r="20" spans="1:6" ht="15.75" x14ac:dyDescent="0.25">
      <c r="A20" s="104">
        <v>19</v>
      </c>
      <c r="B20" s="105" t="s">
        <v>158</v>
      </c>
      <c r="C20" s="145" t="s">
        <v>424</v>
      </c>
      <c r="D20" s="109" t="s">
        <v>174</v>
      </c>
      <c r="E20" s="150"/>
      <c r="F20" s="110" t="s">
        <v>175</v>
      </c>
    </row>
    <row r="21" spans="1:6" ht="45" x14ac:dyDescent="0.25">
      <c r="A21" s="104">
        <v>20</v>
      </c>
      <c r="B21" s="105" t="s">
        <v>158</v>
      </c>
      <c r="C21" s="145" t="s">
        <v>425</v>
      </c>
      <c r="D21" s="109" t="s">
        <v>165</v>
      </c>
      <c r="E21" s="150"/>
      <c r="F21" s="110" t="s">
        <v>176</v>
      </c>
    </row>
    <row r="22" spans="1:6" ht="45" x14ac:dyDescent="0.25">
      <c r="A22" s="104">
        <v>21</v>
      </c>
      <c r="B22" s="105" t="s">
        <v>158</v>
      </c>
      <c r="C22" s="145" t="s">
        <v>426</v>
      </c>
      <c r="D22" s="109" t="s">
        <v>165</v>
      </c>
      <c r="E22" s="150"/>
      <c r="F22" s="110" t="s">
        <v>177</v>
      </c>
    </row>
    <row r="23" spans="1:6" ht="30" x14ac:dyDescent="0.25">
      <c r="A23" s="104">
        <v>22</v>
      </c>
      <c r="B23" s="105" t="s">
        <v>158</v>
      </c>
      <c r="C23" s="145" t="s">
        <v>427</v>
      </c>
      <c r="D23" s="109" t="s">
        <v>179</v>
      </c>
      <c r="E23" s="150"/>
      <c r="F23" s="110" t="s">
        <v>178</v>
      </c>
    </row>
    <row r="24" spans="1:6" ht="45" x14ac:dyDescent="0.25">
      <c r="A24" s="104">
        <v>23</v>
      </c>
      <c r="B24" s="105" t="s">
        <v>158</v>
      </c>
      <c r="C24" s="159" t="s">
        <v>428</v>
      </c>
      <c r="D24" s="109" t="s">
        <v>179</v>
      </c>
      <c r="E24" s="150"/>
      <c r="F24" s="110" t="s">
        <v>180</v>
      </c>
    </row>
    <row r="25" spans="1:6" ht="30" x14ac:dyDescent="0.25">
      <c r="A25" s="104">
        <v>24</v>
      </c>
      <c r="B25" s="105" t="s">
        <v>158</v>
      </c>
      <c r="C25" s="159" t="s">
        <v>621</v>
      </c>
      <c r="D25" s="109" t="s">
        <v>160</v>
      </c>
      <c r="E25" s="150"/>
      <c r="F25" s="110" t="s">
        <v>622</v>
      </c>
    </row>
  </sheetData>
  <sheetProtection algorithmName="SHA-512" hashValue="wYUD3qIVORId+RUm6yP+qYJBtkFbgAD5NzugVnF6Rr4oSC/BMa7yecq0T4d1TG2ftNo8QMGcBVkGVvJ7nHwz3w==" saltValue="3vyl3DkT6rMaonrix9JHEg==" spinCount="100000" sheet="1" objects="1" scenarios="1" selectLockedCells="1"/>
  <autoFilter ref="A1:F1" xr:uid="{38159634-4B14-4C48-A2BB-D0B47FD2BF4A}"/>
  <conditionalFormatting sqref="E4:E10">
    <cfRule type="expression" dxfId="1" priority="1">
      <formula>IF(AND(LEN(E4)=1,$G$1=FALSE),TRUE,FALSE)</formula>
    </cfRule>
  </conditionalFormatting>
  <conditionalFormatting sqref="F1">
    <cfRule type="expression" dxfId="0" priority="2">
      <formula>LEN($F$1)&gt;0</formula>
    </cfRule>
  </conditionalFormatting>
  <dataValidations count="2">
    <dataValidation type="decimal" operator="greaterThan" allowBlank="1" showInputMessage="1" showErrorMessage="1" errorTitle="EROARE" error="Se accepta doar valori numerice._x000a_De ex: 1 sau 5 sau 120" sqref="E2:E3 E11:E25" xr:uid="{BB1158E7-8187-45EC-8D9A-4756018EF8BB}">
      <formula1>0</formula1>
    </dataValidation>
    <dataValidation type="list" operator="greaterThan" allowBlank="1" showInputMessage="1" showErrorMessage="1" errorTitle="EROARE" error="Se poate efectua doar o interventie._x000a_Se completeaza 1 doar intr-una dintre celulele galbene" sqref="E4:E10" xr:uid="{83A18CDA-3CB9-47A5-8B10-2F58350F1296}">
      <formula1>"1"</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BE285-63F4-4C8A-9B82-22EFAB8EC33E}">
  <sheetPr codeName="Sheet6"/>
  <dimension ref="A1:L85"/>
  <sheetViews>
    <sheetView workbookViewId="0">
      <selection activeCell="J2" sqref="J2"/>
    </sheetView>
  </sheetViews>
  <sheetFormatPr defaultRowHeight="15" x14ac:dyDescent="0.25"/>
  <cols>
    <col min="1" max="1" width="28.85546875" customWidth="1"/>
    <col min="2" max="2" width="20.5703125" customWidth="1"/>
    <col min="3" max="3" width="10.85546875" customWidth="1"/>
    <col min="5" max="5" width="20.5703125" customWidth="1"/>
    <col min="11" max="11" width="20.7109375" customWidth="1"/>
  </cols>
  <sheetData>
    <row r="1" spans="1:12" x14ac:dyDescent="0.25">
      <c r="A1" s="153" t="s">
        <v>523</v>
      </c>
      <c r="B1" s="153" t="s">
        <v>524</v>
      </c>
      <c r="C1" s="153" t="s">
        <v>525</v>
      </c>
      <c r="D1" s="76" t="s">
        <v>526</v>
      </c>
      <c r="E1" s="154" t="s">
        <v>527</v>
      </c>
      <c r="F1" s="153" t="s">
        <v>528</v>
      </c>
      <c r="L1" s="155" t="str">
        <f ca="1">L2&amp;","&amp;L3&amp;","&amp;L4&amp;","&amp;L5&amp;","&amp;L6&amp;","&amp;L7&amp;","&amp;L8</f>
        <v>,,,,,,</v>
      </c>
    </row>
    <row r="2" spans="1:12" x14ac:dyDescent="0.25">
      <c r="A2" t="s">
        <v>362</v>
      </c>
      <c r="B2" t="s">
        <v>591</v>
      </c>
      <c r="C2" t="str">
        <f t="shared" ref="C2:C33" ca="1" si="0">INDIRECT(A2)</f>
        <v>AABAABBBAABB</v>
      </c>
      <c r="D2" s="142">
        <f t="shared" ref="D2:D33" si="1">VALUE(MID(B2,FIND("$",B2,FIND("$",B2,1)+1)+1,3))</f>
        <v>1</v>
      </c>
      <c r="E2" s="153" t="s">
        <v>612</v>
      </c>
      <c r="F2" t="b">
        <f t="shared" ref="F2:F33" ca="1" si="2">ISERR(C2)</f>
        <v>0</v>
      </c>
      <c r="J2">
        <f t="shared" ref="J2:J12" ca="1" si="3">COUNTIFS(E:E,K2,F:F,TRUE)</f>
        <v>0</v>
      </c>
      <c r="K2" s="153" t="s">
        <v>612</v>
      </c>
      <c r="L2" s="156" t="str">
        <f ca="1">IF(J2=1, K2, "")</f>
        <v/>
      </c>
    </row>
    <row r="3" spans="1:12" x14ac:dyDescent="0.25">
      <c r="A3" t="s">
        <v>371</v>
      </c>
      <c r="B3" t="s">
        <v>600</v>
      </c>
      <c r="C3">
        <f t="shared" ca="1" si="0"/>
        <v>0</v>
      </c>
      <c r="D3" s="142">
        <f t="shared" si="1"/>
        <v>5</v>
      </c>
      <c r="E3" s="153" t="s">
        <v>612</v>
      </c>
      <c r="F3" t="b">
        <f t="shared" ca="1" si="2"/>
        <v>0</v>
      </c>
      <c r="J3">
        <f t="shared" ca="1" si="3"/>
        <v>0</v>
      </c>
      <c r="K3" s="153" t="s">
        <v>616</v>
      </c>
      <c r="L3" s="156" t="str">
        <f t="shared" ref="L3:L12" ca="1" si="4">IF(J3=1, K3, "")</f>
        <v/>
      </c>
    </row>
    <row r="4" spans="1:12" x14ac:dyDescent="0.25">
      <c r="A4" t="s">
        <v>372</v>
      </c>
      <c r="B4" t="s">
        <v>601</v>
      </c>
      <c r="C4">
        <f t="shared" ca="1" si="0"/>
        <v>0</v>
      </c>
      <c r="D4" s="142">
        <f t="shared" si="1"/>
        <v>5</v>
      </c>
      <c r="E4" s="153" t="s">
        <v>612</v>
      </c>
      <c r="F4" t="b">
        <f t="shared" ca="1" si="2"/>
        <v>0</v>
      </c>
      <c r="J4">
        <f t="shared" ca="1" si="3"/>
        <v>0</v>
      </c>
      <c r="K4" s="153" t="s">
        <v>617</v>
      </c>
      <c r="L4" s="156" t="str">
        <f t="shared" ca="1" si="4"/>
        <v/>
      </c>
    </row>
    <row r="5" spans="1:12" x14ac:dyDescent="0.25">
      <c r="A5" t="s">
        <v>354</v>
      </c>
      <c r="B5" t="s">
        <v>584</v>
      </c>
      <c r="C5">
        <f t="shared" ca="1" si="0"/>
        <v>0</v>
      </c>
      <c r="D5" s="142">
        <f t="shared" si="1"/>
        <v>7</v>
      </c>
      <c r="E5" s="153" t="s">
        <v>612</v>
      </c>
      <c r="F5" t="b">
        <f t="shared" ca="1" si="2"/>
        <v>0</v>
      </c>
      <c r="J5">
        <f t="shared" ca="1" si="3"/>
        <v>0</v>
      </c>
      <c r="K5" s="153" t="s">
        <v>618</v>
      </c>
      <c r="L5" s="156" t="str">
        <f t="shared" ca="1" si="4"/>
        <v/>
      </c>
    </row>
    <row r="6" spans="1:12" x14ac:dyDescent="0.25">
      <c r="A6" t="s">
        <v>316</v>
      </c>
      <c r="B6" t="s">
        <v>545</v>
      </c>
      <c r="C6" t="str">
        <f t="shared" ca="1" si="0"/>
        <v>Proconect</v>
      </c>
      <c r="D6" s="142">
        <f t="shared" si="1"/>
        <v>9</v>
      </c>
      <c r="E6" s="153" t="s">
        <v>612</v>
      </c>
      <c r="F6" t="b">
        <f t="shared" ca="1" si="2"/>
        <v>0</v>
      </c>
      <c r="J6">
        <f t="shared" ca="1" si="3"/>
        <v>0</v>
      </c>
      <c r="K6" s="153" t="s">
        <v>613</v>
      </c>
      <c r="L6" s="156" t="str">
        <f t="shared" ca="1" si="4"/>
        <v/>
      </c>
    </row>
    <row r="7" spans="1:12" x14ac:dyDescent="0.25">
      <c r="A7" t="s">
        <v>379</v>
      </c>
      <c r="B7" t="s">
        <v>609</v>
      </c>
      <c r="C7">
        <f t="shared" ca="1" si="0"/>
        <v>0</v>
      </c>
      <c r="D7" s="142">
        <f t="shared" si="1"/>
        <v>9</v>
      </c>
      <c r="E7" s="153" t="s">
        <v>612</v>
      </c>
      <c r="F7" t="b">
        <f t="shared" ca="1" si="2"/>
        <v>0</v>
      </c>
      <c r="J7">
        <f t="shared" ca="1" si="3"/>
        <v>0</v>
      </c>
      <c r="K7" s="153" t="s">
        <v>614</v>
      </c>
      <c r="L7" s="156" t="str">
        <f t="shared" ca="1" si="4"/>
        <v/>
      </c>
    </row>
    <row r="8" spans="1:12" x14ac:dyDescent="0.25">
      <c r="A8" t="s">
        <v>302</v>
      </c>
      <c r="B8" t="s">
        <v>530</v>
      </c>
      <c r="C8">
        <f t="shared" ca="1" si="0"/>
        <v>0</v>
      </c>
      <c r="D8" s="142">
        <f t="shared" si="1"/>
        <v>11</v>
      </c>
      <c r="E8" s="153" t="s">
        <v>612</v>
      </c>
      <c r="F8" t="b">
        <f t="shared" ca="1" si="2"/>
        <v>0</v>
      </c>
      <c r="J8">
        <f t="shared" ca="1" si="3"/>
        <v>0</v>
      </c>
      <c r="K8" s="153" t="s">
        <v>615</v>
      </c>
      <c r="L8" s="156" t="str">
        <f t="shared" ca="1" si="4"/>
        <v/>
      </c>
    </row>
    <row r="9" spans="1:12" x14ac:dyDescent="0.25">
      <c r="A9" t="s">
        <v>373</v>
      </c>
      <c r="B9" t="s">
        <v>603</v>
      </c>
      <c r="C9">
        <f t="shared" ca="1" si="0"/>
        <v>0</v>
      </c>
      <c r="D9" s="142">
        <f t="shared" si="1"/>
        <v>11</v>
      </c>
      <c r="E9" s="153" t="s">
        <v>612</v>
      </c>
      <c r="F9" t="b">
        <f t="shared" ca="1" si="2"/>
        <v>0</v>
      </c>
      <c r="J9">
        <f t="shared" si="3"/>
        <v>0</v>
      </c>
      <c r="K9" s="153"/>
      <c r="L9" s="156" t="str">
        <f t="shared" si="4"/>
        <v/>
      </c>
    </row>
    <row r="10" spans="1:12" x14ac:dyDescent="0.25">
      <c r="A10" t="s">
        <v>66</v>
      </c>
      <c r="B10" t="s">
        <v>559</v>
      </c>
      <c r="C10">
        <f t="shared" ca="1" si="0"/>
        <v>0</v>
      </c>
      <c r="D10" s="142">
        <f t="shared" si="1"/>
        <v>14</v>
      </c>
      <c r="E10" s="153" t="s">
        <v>616</v>
      </c>
      <c r="F10" t="b">
        <f t="shared" ca="1" si="2"/>
        <v>0</v>
      </c>
      <c r="J10">
        <f t="shared" si="3"/>
        <v>0</v>
      </c>
      <c r="K10" s="153"/>
      <c r="L10" s="156" t="str">
        <f t="shared" si="4"/>
        <v/>
      </c>
    </row>
    <row r="11" spans="1:12" x14ac:dyDescent="0.25">
      <c r="A11" t="s">
        <v>340</v>
      </c>
      <c r="B11" t="s">
        <v>570</v>
      </c>
      <c r="C11">
        <f t="shared" ca="1" si="0"/>
        <v>0</v>
      </c>
      <c r="D11" s="142">
        <f t="shared" si="1"/>
        <v>14</v>
      </c>
      <c r="E11" s="153" t="s">
        <v>616</v>
      </c>
      <c r="F11" t="b">
        <f t="shared" ca="1" si="2"/>
        <v>0</v>
      </c>
      <c r="J11">
        <f t="shared" si="3"/>
        <v>0</v>
      </c>
      <c r="K11" s="153"/>
      <c r="L11" s="156" t="str">
        <f t="shared" si="4"/>
        <v/>
      </c>
    </row>
    <row r="12" spans="1:12" x14ac:dyDescent="0.25">
      <c r="A12" t="s">
        <v>341</v>
      </c>
      <c r="B12" t="s">
        <v>571</v>
      </c>
      <c r="C12">
        <f t="shared" ca="1" si="0"/>
        <v>0</v>
      </c>
      <c r="D12" s="142">
        <f t="shared" si="1"/>
        <v>14</v>
      </c>
      <c r="E12" s="153" t="s">
        <v>616</v>
      </c>
      <c r="F12" t="b">
        <f t="shared" ca="1" si="2"/>
        <v>0</v>
      </c>
      <c r="J12">
        <f t="shared" si="3"/>
        <v>0</v>
      </c>
      <c r="K12" s="153"/>
      <c r="L12" s="156" t="str">
        <f t="shared" si="4"/>
        <v/>
      </c>
    </row>
    <row r="13" spans="1:12" x14ac:dyDescent="0.25">
      <c r="A13" t="s">
        <v>65</v>
      </c>
      <c r="B13" t="s">
        <v>602</v>
      </c>
      <c r="C13">
        <f t="shared" ca="1" si="0"/>
        <v>0</v>
      </c>
      <c r="D13" s="142">
        <f t="shared" si="1"/>
        <v>14</v>
      </c>
      <c r="E13" s="153" t="s">
        <v>616</v>
      </c>
      <c r="F13" t="b">
        <f t="shared" ca="1" si="2"/>
        <v>0</v>
      </c>
      <c r="J13">
        <f ca="1">SUM(J2:J12)</f>
        <v>0</v>
      </c>
      <c r="L13" s="156"/>
    </row>
    <row r="14" spans="1:12" x14ac:dyDescent="0.25">
      <c r="A14" t="s">
        <v>374</v>
      </c>
      <c r="B14" t="s">
        <v>604</v>
      </c>
      <c r="C14">
        <f t="shared" ca="1" si="0"/>
        <v>0</v>
      </c>
      <c r="D14" s="142">
        <f t="shared" si="1"/>
        <v>14</v>
      </c>
      <c r="E14" s="153" t="s">
        <v>616</v>
      </c>
      <c r="F14" t="b">
        <f t="shared" ca="1" si="2"/>
        <v>0</v>
      </c>
    </row>
    <row r="15" spans="1:12" x14ac:dyDescent="0.25">
      <c r="A15" t="s">
        <v>314</v>
      </c>
      <c r="B15" t="s">
        <v>542</v>
      </c>
      <c r="C15">
        <f t="shared" ca="1" si="0"/>
        <v>0</v>
      </c>
      <c r="D15" s="142">
        <f t="shared" si="1"/>
        <v>15</v>
      </c>
      <c r="E15" s="153" t="s">
        <v>616</v>
      </c>
      <c r="F15" t="b">
        <f t="shared" ca="1" si="2"/>
        <v>0</v>
      </c>
    </row>
    <row r="16" spans="1:12" x14ac:dyDescent="0.25">
      <c r="A16" t="s">
        <v>315</v>
      </c>
      <c r="B16" t="s">
        <v>543</v>
      </c>
      <c r="C16">
        <f t="shared" ca="1" si="0"/>
        <v>0</v>
      </c>
      <c r="D16" s="142">
        <f t="shared" si="1"/>
        <v>15</v>
      </c>
      <c r="E16" s="153" t="s">
        <v>616</v>
      </c>
      <c r="F16" t="b">
        <f t="shared" ca="1" si="2"/>
        <v>0</v>
      </c>
    </row>
    <row r="17" spans="1:6" x14ac:dyDescent="0.25">
      <c r="A17" t="s">
        <v>58</v>
      </c>
      <c r="B17" t="s">
        <v>544</v>
      </c>
      <c r="C17">
        <f t="shared" ca="1" si="0"/>
        <v>0</v>
      </c>
      <c r="D17" s="142">
        <f t="shared" si="1"/>
        <v>15</v>
      </c>
      <c r="E17" s="153" t="s">
        <v>616</v>
      </c>
      <c r="F17" t="b">
        <f t="shared" ca="1" si="2"/>
        <v>0</v>
      </c>
    </row>
    <row r="18" spans="1:6" x14ac:dyDescent="0.25">
      <c r="A18" t="s">
        <v>360</v>
      </c>
      <c r="B18" t="s">
        <v>590</v>
      </c>
      <c r="C18">
        <f t="shared" ca="1" si="0"/>
        <v>0</v>
      </c>
      <c r="D18" s="142">
        <f t="shared" si="1"/>
        <v>16</v>
      </c>
      <c r="E18" s="153" t="s">
        <v>616</v>
      </c>
      <c r="F18" t="b">
        <f t="shared" ca="1" si="2"/>
        <v>0</v>
      </c>
    </row>
    <row r="19" spans="1:6" x14ac:dyDescent="0.25">
      <c r="A19" t="s">
        <v>310</v>
      </c>
      <c r="B19" t="s">
        <v>538</v>
      </c>
      <c r="C19" t="str">
        <f t="shared" ca="1" si="0"/>
        <v>0/0/</v>
      </c>
      <c r="D19" s="142">
        <f t="shared" si="1"/>
        <v>18</v>
      </c>
      <c r="E19" s="153" t="s">
        <v>616</v>
      </c>
      <c r="F19" t="b">
        <f t="shared" ca="1" si="2"/>
        <v>0</v>
      </c>
    </row>
    <row r="20" spans="1:6" x14ac:dyDescent="0.25">
      <c r="A20" t="s">
        <v>358</v>
      </c>
      <c r="B20" t="s">
        <v>588</v>
      </c>
      <c r="C20">
        <f t="shared" ca="1" si="0"/>
        <v>0</v>
      </c>
      <c r="D20" s="142">
        <f t="shared" si="1"/>
        <v>18</v>
      </c>
      <c r="E20" s="153" t="s">
        <v>616</v>
      </c>
      <c r="F20" t="b">
        <f t="shared" ca="1" si="2"/>
        <v>0</v>
      </c>
    </row>
    <row r="21" spans="1:6" x14ac:dyDescent="0.25">
      <c r="A21" t="s">
        <v>311</v>
      </c>
      <c r="B21" t="s">
        <v>539</v>
      </c>
      <c r="C21" t="str">
        <f t="shared" ca="1" si="0"/>
        <v>0/0/</v>
      </c>
      <c r="D21" s="142">
        <f t="shared" si="1"/>
        <v>19</v>
      </c>
      <c r="E21" s="153" t="s">
        <v>616</v>
      </c>
      <c r="F21" t="b">
        <f t="shared" ca="1" si="2"/>
        <v>0</v>
      </c>
    </row>
    <row r="22" spans="1:6" x14ac:dyDescent="0.25">
      <c r="A22" t="s">
        <v>359</v>
      </c>
      <c r="B22" t="s">
        <v>589</v>
      </c>
      <c r="C22">
        <f t="shared" ca="1" si="0"/>
        <v>0</v>
      </c>
      <c r="D22" s="142">
        <f t="shared" si="1"/>
        <v>19</v>
      </c>
      <c r="E22" s="153" t="s">
        <v>616</v>
      </c>
      <c r="F22" t="b">
        <f t="shared" ca="1" si="2"/>
        <v>0</v>
      </c>
    </row>
    <row r="23" spans="1:6" x14ac:dyDescent="0.25">
      <c r="A23" t="s">
        <v>309</v>
      </c>
      <c r="B23" t="s">
        <v>537</v>
      </c>
      <c r="C23" t="str">
        <f t="shared" ca="1" si="0"/>
        <v>0/0/</v>
      </c>
      <c r="D23" s="142">
        <f t="shared" si="1"/>
        <v>20</v>
      </c>
      <c r="E23" s="153" t="s">
        <v>616</v>
      </c>
      <c r="F23" t="b">
        <f t="shared" ca="1" si="2"/>
        <v>0</v>
      </c>
    </row>
    <row r="24" spans="1:6" x14ac:dyDescent="0.25">
      <c r="A24" t="s">
        <v>357</v>
      </c>
      <c r="B24" t="s">
        <v>587</v>
      </c>
      <c r="C24">
        <f t="shared" ca="1" si="0"/>
        <v>0</v>
      </c>
      <c r="D24" s="142">
        <f t="shared" si="1"/>
        <v>20</v>
      </c>
      <c r="E24" s="153" t="s">
        <v>616</v>
      </c>
      <c r="F24" t="b">
        <f t="shared" ca="1" si="2"/>
        <v>0</v>
      </c>
    </row>
    <row r="25" spans="1:6" x14ac:dyDescent="0.25">
      <c r="A25" t="s">
        <v>308</v>
      </c>
      <c r="B25" t="s">
        <v>536</v>
      </c>
      <c r="C25" t="str">
        <f t="shared" ca="1" si="0"/>
        <v>0/0/</v>
      </c>
      <c r="D25" s="142">
        <f t="shared" si="1"/>
        <v>21</v>
      </c>
      <c r="E25" s="153" t="s">
        <v>616</v>
      </c>
      <c r="F25" t="b">
        <f t="shared" ca="1" si="2"/>
        <v>0</v>
      </c>
    </row>
    <row r="26" spans="1:6" x14ac:dyDescent="0.25">
      <c r="A26" t="s">
        <v>356</v>
      </c>
      <c r="B26" t="s">
        <v>586</v>
      </c>
      <c r="C26">
        <f t="shared" ca="1" si="0"/>
        <v>0</v>
      </c>
      <c r="D26" s="142">
        <f t="shared" si="1"/>
        <v>21</v>
      </c>
      <c r="E26" s="153" t="s">
        <v>616</v>
      </c>
      <c r="F26" t="b">
        <f t="shared" ca="1" si="2"/>
        <v>0</v>
      </c>
    </row>
    <row r="27" spans="1:6" x14ac:dyDescent="0.25">
      <c r="A27" t="s">
        <v>307</v>
      </c>
      <c r="B27" t="s">
        <v>535</v>
      </c>
      <c r="C27" t="str">
        <f t="shared" ca="1" si="0"/>
        <v>Lucrari infrastructura-Lucrari efectuate de companiile nationale</v>
      </c>
      <c r="D27" s="142">
        <f t="shared" si="1"/>
        <v>23</v>
      </c>
      <c r="E27" s="153" t="s">
        <v>616</v>
      </c>
      <c r="F27" t="b">
        <f t="shared" ca="1" si="2"/>
        <v>0</v>
      </c>
    </row>
    <row r="28" spans="1:6" x14ac:dyDescent="0.25">
      <c r="A28" t="s">
        <v>312</v>
      </c>
      <c r="B28" t="s">
        <v>540</v>
      </c>
      <c r="C28">
        <f t="shared" ca="1" si="0"/>
        <v>0</v>
      </c>
      <c r="D28" s="142">
        <f t="shared" si="1"/>
        <v>25</v>
      </c>
      <c r="E28" s="153" t="s">
        <v>616</v>
      </c>
      <c r="F28" t="b">
        <f t="shared" ca="1" si="2"/>
        <v>0</v>
      </c>
    </row>
    <row r="29" spans="1:6" x14ac:dyDescent="0.25">
      <c r="A29" t="s">
        <v>313</v>
      </c>
      <c r="B29" t="s">
        <v>541</v>
      </c>
      <c r="C29">
        <f t="shared" ca="1" si="0"/>
        <v>0</v>
      </c>
      <c r="D29" s="142">
        <f t="shared" si="1"/>
        <v>29</v>
      </c>
      <c r="E29" s="153" t="s">
        <v>616</v>
      </c>
      <c r="F29" t="b">
        <f t="shared" ca="1" si="2"/>
        <v>0</v>
      </c>
    </row>
    <row r="30" spans="1:6" x14ac:dyDescent="0.25">
      <c r="A30" t="s">
        <v>334</v>
      </c>
      <c r="B30" t="s">
        <v>564</v>
      </c>
      <c r="C30" t="str">
        <f t="shared" ca="1" si="0"/>
        <v/>
      </c>
      <c r="D30" s="142">
        <f t="shared" si="1"/>
        <v>35</v>
      </c>
      <c r="E30" s="153" t="s">
        <v>617</v>
      </c>
      <c r="F30" t="b">
        <f t="shared" ca="1" si="2"/>
        <v>0</v>
      </c>
    </row>
    <row r="31" spans="1:6" x14ac:dyDescent="0.25">
      <c r="A31" t="s">
        <v>335</v>
      </c>
      <c r="B31" t="s">
        <v>565</v>
      </c>
      <c r="C31" t="str">
        <f t="shared" ca="1" si="0"/>
        <v/>
      </c>
      <c r="D31" s="142">
        <f t="shared" si="1"/>
        <v>39</v>
      </c>
      <c r="E31" s="153" t="s">
        <v>617</v>
      </c>
      <c r="F31" t="b">
        <f t="shared" ca="1" si="2"/>
        <v>0</v>
      </c>
    </row>
    <row r="32" spans="1:6" x14ac:dyDescent="0.25">
      <c r="A32" t="s">
        <v>318</v>
      </c>
      <c r="B32" t="s">
        <v>547</v>
      </c>
      <c r="C32">
        <f t="shared" ca="1" si="0"/>
        <v>0</v>
      </c>
      <c r="D32" s="142">
        <f t="shared" si="1"/>
        <v>41</v>
      </c>
      <c r="E32" s="153" t="s">
        <v>618</v>
      </c>
      <c r="F32" t="b">
        <f t="shared" ca="1" si="2"/>
        <v>0</v>
      </c>
    </row>
    <row r="33" spans="1:6" x14ac:dyDescent="0.25">
      <c r="A33" t="s">
        <v>319</v>
      </c>
      <c r="B33" t="s">
        <v>548</v>
      </c>
      <c r="C33">
        <f t="shared" ca="1" si="0"/>
        <v>0</v>
      </c>
      <c r="D33" s="142">
        <f t="shared" si="1"/>
        <v>41</v>
      </c>
      <c r="E33" s="153" t="s">
        <v>618</v>
      </c>
      <c r="F33" t="b">
        <f t="shared" ca="1" si="2"/>
        <v>0</v>
      </c>
    </row>
    <row r="34" spans="1:6" x14ac:dyDescent="0.25">
      <c r="A34" t="s">
        <v>320</v>
      </c>
      <c r="B34" t="s">
        <v>549</v>
      </c>
      <c r="C34">
        <f t="shared" ref="C34:C65" ca="1" si="5">INDIRECT(A34)</f>
        <v>0</v>
      </c>
      <c r="D34" s="142">
        <f t="shared" ref="D34:D65" si="6">VALUE(MID(B34,FIND("$",B34,FIND("$",B34,1)+1)+1,3))</f>
        <v>41</v>
      </c>
      <c r="E34" s="153" t="s">
        <v>618</v>
      </c>
      <c r="F34" t="b">
        <f t="shared" ref="F34:F65" ca="1" si="7">ISERR(C34)</f>
        <v>0</v>
      </c>
    </row>
    <row r="35" spans="1:6" x14ac:dyDescent="0.25">
      <c r="A35" t="s">
        <v>336</v>
      </c>
      <c r="B35" t="s">
        <v>566</v>
      </c>
      <c r="C35" t="str">
        <f t="shared" ca="1" si="5"/>
        <v/>
      </c>
      <c r="D35" s="142">
        <f t="shared" si="6"/>
        <v>41</v>
      </c>
      <c r="E35" s="153" t="s">
        <v>618</v>
      </c>
      <c r="F35" t="b">
        <f t="shared" ca="1" si="7"/>
        <v>0</v>
      </c>
    </row>
    <row r="36" spans="1:6" x14ac:dyDescent="0.25">
      <c r="A36" t="s">
        <v>363</v>
      </c>
      <c r="B36" t="s">
        <v>592</v>
      </c>
      <c r="C36">
        <f t="shared" ca="1" si="5"/>
        <v>0</v>
      </c>
      <c r="D36" s="142">
        <f t="shared" si="6"/>
        <v>41</v>
      </c>
      <c r="E36" s="153" t="s">
        <v>618</v>
      </c>
      <c r="F36" t="b">
        <f t="shared" ca="1" si="7"/>
        <v>0</v>
      </c>
    </row>
    <row r="37" spans="1:6" x14ac:dyDescent="0.25">
      <c r="A37" t="s">
        <v>364</v>
      </c>
      <c r="B37" t="s">
        <v>593</v>
      </c>
      <c r="C37">
        <f t="shared" ca="1" si="5"/>
        <v>0</v>
      </c>
      <c r="D37" s="142">
        <f t="shared" si="6"/>
        <v>41</v>
      </c>
      <c r="E37" s="153" t="s">
        <v>618</v>
      </c>
      <c r="F37" t="b">
        <f t="shared" ca="1" si="7"/>
        <v>0</v>
      </c>
    </row>
    <row r="38" spans="1:6" x14ac:dyDescent="0.25">
      <c r="A38" t="s">
        <v>375</v>
      </c>
      <c r="B38" t="s">
        <v>605</v>
      </c>
      <c r="C38">
        <f t="shared" ca="1" si="5"/>
        <v>0</v>
      </c>
      <c r="D38" s="142">
        <f t="shared" si="6"/>
        <v>41</v>
      </c>
      <c r="E38" s="153" t="s">
        <v>618</v>
      </c>
      <c r="F38" t="b">
        <f t="shared" ca="1" si="7"/>
        <v>0</v>
      </c>
    </row>
    <row r="39" spans="1:6" x14ac:dyDescent="0.25">
      <c r="A39" t="s">
        <v>321</v>
      </c>
      <c r="B39" t="s">
        <v>550</v>
      </c>
      <c r="C39">
        <f t="shared" ca="1" si="5"/>
        <v>0</v>
      </c>
      <c r="D39" s="142">
        <f t="shared" si="6"/>
        <v>42</v>
      </c>
      <c r="E39" s="153" t="s">
        <v>618</v>
      </c>
      <c r="F39" t="b">
        <f t="shared" ca="1" si="7"/>
        <v>0</v>
      </c>
    </row>
    <row r="40" spans="1:6" x14ac:dyDescent="0.25">
      <c r="A40" t="s">
        <v>322</v>
      </c>
      <c r="B40" t="s">
        <v>551</v>
      </c>
      <c r="C40">
        <f t="shared" ca="1" si="5"/>
        <v>0</v>
      </c>
      <c r="D40" s="142">
        <f t="shared" si="6"/>
        <v>42</v>
      </c>
      <c r="E40" s="153" t="s">
        <v>618</v>
      </c>
      <c r="F40" t="b">
        <f t="shared" ca="1" si="7"/>
        <v>0</v>
      </c>
    </row>
    <row r="41" spans="1:6" x14ac:dyDescent="0.25">
      <c r="A41" t="s">
        <v>323</v>
      </c>
      <c r="B41" t="s">
        <v>552</v>
      </c>
      <c r="C41">
        <f t="shared" ca="1" si="5"/>
        <v>0</v>
      </c>
      <c r="D41" s="142">
        <f t="shared" si="6"/>
        <v>42</v>
      </c>
      <c r="E41" s="153" t="s">
        <v>618</v>
      </c>
      <c r="F41" t="b">
        <f t="shared" ca="1" si="7"/>
        <v>0</v>
      </c>
    </row>
    <row r="42" spans="1:6" x14ac:dyDescent="0.25">
      <c r="A42" t="s">
        <v>337</v>
      </c>
      <c r="B42" t="s">
        <v>567</v>
      </c>
      <c r="C42" t="str">
        <f t="shared" ca="1" si="5"/>
        <v/>
      </c>
      <c r="D42" s="142">
        <f t="shared" si="6"/>
        <v>42</v>
      </c>
      <c r="E42" s="153" t="s">
        <v>618</v>
      </c>
      <c r="F42" t="b">
        <f t="shared" ca="1" si="7"/>
        <v>0</v>
      </c>
    </row>
    <row r="43" spans="1:6" x14ac:dyDescent="0.25">
      <c r="A43" t="s">
        <v>365</v>
      </c>
      <c r="B43" t="s">
        <v>594</v>
      </c>
      <c r="C43">
        <f t="shared" ca="1" si="5"/>
        <v>0</v>
      </c>
      <c r="D43" s="142">
        <f t="shared" si="6"/>
        <v>42</v>
      </c>
      <c r="E43" s="153" t="s">
        <v>618</v>
      </c>
      <c r="F43" t="b">
        <f t="shared" ca="1" si="7"/>
        <v>0</v>
      </c>
    </row>
    <row r="44" spans="1:6" x14ac:dyDescent="0.25">
      <c r="A44" t="s">
        <v>366</v>
      </c>
      <c r="B44" t="s">
        <v>595</v>
      </c>
      <c r="C44">
        <f t="shared" ca="1" si="5"/>
        <v>0</v>
      </c>
      <c r="D44" s="142">
        <f t="shared" si="6"/>
        <v>42</v>
      </c>
      <c r="E44" s="153" t="s">
        <v>618</v>
      </c>
      <c r="F44" t="b">
        <f t="shared" ca="1" si="7"/>
        <v>0</v>
      </c>
    </row>
    <row r="45" spans="1:6" x14ac:dyDescent="0.25">
      <c r="A45" t="s">
        <v>376</v>
      </c>
      <c r="B45" t="s">
        <v>606</v>
      </c>
      <c r="C45">
        <f t="shared" ca="1" si="5"/>
        <v>0</v>
      </c>
      <c r="D45" s="142">
        <f t="shared" si="6"/>
        <v>42</v>
      </c>
      <c r="E45" s="153" t="s">
        <v>618</v>
      </c>
      <c r="F45" t="b">
        <f t="shared" ca="1" si="7"/>
        <v>0</v>
      </c>
    </row>
    <row r="46" spans="1:6" x14ac:dyDescent="0.25">
      <c r="A46" t="s">
        <v>324</v>
      </c>
      <c r="B46" t="s">
        <v>553</v>
      </c>
      <c r="C46">
        <f t="shared" ca="1" si="5"/>
        <v>0</v>
      </c>
      <c r="D46" s="142">
        <f t="shared" si="6"/>
        <v>43</v>
      </c>
      <c r="E46" s="153" t="s">
        <v>618</v>
      </c>
      <c r="F46" t="b">
        <f t="shared" ca="1" si="7"/>
        <v>0</v>
      </c>
    </row>
    <row r="47" spans="1:6" x14ac:dyDescent="0.25">
      <c r="A47" t="s">
        <v>325</v>
      </c>
      <c r="B47" t="s">
        <v>554</v>
      </c>
      <c r="C47">
        <f t="shared" ca="1" si="5"/>
        <v>0</v>
      </c>
      <c r="D47" s="142">
        <f t="shared" si="6"/>
        <v>43</v>
      </c>
      <c r="E47" s="153" t="s">
        <v>618</v>
      </c>
      <c r="F47" t="b">
        <f t="shared" ca="1" si="7"/>
        <v>0</v>
      </c>
    </row>
    <row r="48" spans="1:6" x14ac:dyDescent="0.25">
      <c r="A48" t="s">
        <v>326</v>
      </c>
      <c r="B48" t="s">
        <v>555</v>
      </c>
      <c r="C48">
        <f t="shared" ca="1" si="5"/>
        <v>0</v>
      </c>
      <c r="D48" s="142">
        <f t="shared" si="6"/>
        <v>43</v>
      </c>
      <c r="E48" s="153" t="s">
        <v>618</v>
      </c>
      <c r="F48" t="b">
        <f t="shared" ca="1" si="7"/>
        <v>0</v>
      </c>
    </row>
    <row r="49" spans="1:6" x14ac:dyDescent="0.25">
      <c r="A49" t="s">
        <v>338</v>
      </c>
      <c r="B49" t="s">
        <v>568</v>
      </c>
      <c r="C49" t="str">
        <f t="shared" ca="1" si="5"/>
        <v/>
      </c>
      <c r="D49" s="142">
        <f t="shared" si="6"/>
        <v>43</v>
      </c>
      <c r="E49" s="153" t="s">
        <v>618</v>
      </c>
      <c r="F49" t="b">
        <f t="shared" ca="1" si="7"/>
        <v>0</v>
      </c>
    </row>
    <row r="50" spans="1:6" x14ac:dyDescent="0.25">
      <c r="A50" t="s">
        <v>367</v>
      </c>
      <c r="B50" t="s">
        <v>596</v>
      </c>
      <c r="C50">
        <f t="shared" ca="1" si="5"/>
        <v>0</v>
      </c>
      <c r="D50" s="142">
        <f t="shared" si="6"/>
        <v>43</v>
      </c>
      <c r="E50" s="153" t="s">
        <v>618</v>
      </c>
      <c r="F50" t="b">
        <f t="shared" ca="1" si="7"/>
        <v>0</v>
      </c>
    </row>
    <row r="51" spans="1:6" x14ac:dyDescent="0.25">
      <c r="A51" t="s">
        <v>368</v>
      </c>
      <c r="B51" t="s">
        <v>597</v>
      </c>
      <c r="C51">
        <f t="shared" ca="1" si="5"/>
        <v>0</v>
      </c>
      <c r="D51" s="142">
        <f t="shared" si="6"/>
        <v>43</v>
      </c>
      <c r="E51" s="153" t="s">
        <v>618</v>
      </c>
      <c r="F51" t="b">
        <f t="shared" ca="1" si="7"/>
        <v>0</v>
      </c>
    </row>
    <row r="52" spans="1:6" x14ac:dyDescent="0.25">
      <c r="A52" t="s">
        <v>377</v>
      </c>
      <c r="B52" t="s">
        <v>607</v>
      </c>
      <c r="C52">
        <f t="shared" ca="1" si="5"/>
        <v>0</v>
      </c>
      <c r="D52" s="142">
        <f t="shared" si="6"/>
        <v>43</v>
      </c>
      <c r="E52" s="153" t="s">
        <v>618</v>
      </c>
      <c r="F52" t="b">
        <f t="shared" ca="1" si="7"/>
        <v>0</v>
      </c>
    </row>
    <row r="53" spans="1:6" x14ac:dyDescent="0.25">
      <c r="A53" t="s">
        <v>327</v>
      </c>
      <c r="B53" t="s">
        <v>556</v>
      </c>
      <c r="C53">
        <f t="shared" ca="1" si="5"/>
        <v>0</v>
      </c>
      <c r="D53" s="142">
        <f t="shared" si="6"/>
        <v>44</v>
      </c>
      <c r="E53" s="153" t="s">
        <v>618</v>
      </c>
      <c r="F53" t="b">
        <f t="shared" ca="1" si="7"/>
        <v>0</v>
      </c>
    </row>
    <row r="54" spans="1:6" x14ac:dyDescent="0.25">
      <c r="A54" t="s">
        <v>328</v>
      </c>
      <c r="B54" t="s">
        <v>557</v>
      </c>
      <c r="C54">
        <f t="shared" ca="1" si="5"/>
        <v>0</v>
      </c>
      <c r="D54" s="142">
        <f t="shared" si="6"/>
        <v>44</v>
      </c>
      <c r="E54" s="153" t="s">
        <v>618</v>
      </c>
      <c r="F54" t="b">
        <f t="shared" ca="1" si="7"/>
        <v>0</v>
      </c>
    </row>
    <row r="55" spans="1:6" x14ac:dyDescent="0.25">
      <c r="A55" t="s">
        <v>329</v>
      </c>
      <c r="B55" t="s">
        <v>558</v>
      </c>
      <c r="C55">
        <f t="shared" ca="1" si="5"/>
        <v>0</v>
      </c>
      <c r="D55" s="142">
        <f t="shared" si="6"/>
        <v>44</v>
      </c>
      <c r="E55" s="153" t="s">
        <v>618</v>
      </c>
      <c r="F55" t="b">
        <f t="shared" ca="1" si="7"/>
        <v>0</v>
      </c>
    </row>
    <row r="56" spans="1:6" x14ac:dyDescent="0.25">
      <c r="A56" t="s">
        <v>339</v>
      </c>
      <c r="B56" t="s">
        <v>569</v>
      </c>
      <c r="C56" t="str">
        <f t="shared" ca="1" si="5"/>
        <v/>
      </c>
      <c r="D56" s="142">
        <f t="shared" si="6"/>
        <v>44</v>
      </c>
      <c r="E56" s="153" t="s">
        <v>618</v>
      </c>
      <c r="F56" t="b">
        <f t="shared" ca="1" si="7"/>
        <v>0</v>
      </c>
    </row>
    <row r="57" spans="1:6" x14ac:dyDescent="0.25">
      <c r="A57" t="s">
        <v>369</v>
      </c>
      <c r="B57" t="s">
        <v>598</v>
      </c>
      <c r="C57">
        <f t="shared" ca="1" si="5"/>
        <v>0</v>
      </c>
      <c r="D57" s="142">
        <f t="shared" si="6"/>
        <v>44</v>
      </c>
      <c r="E57" s="153" t="s">
        <v>618</v>
      </c>
      <c r="F57" t="b">
        <f t="shared" ca="1" si="7"/>
        <v>0</v>
      </c>
    </row>
    <row r="58" spans="1:6" x14ac:dyDescent="0.25">
      <c r="A58" t="s">
        <v>370</v>
      </c>
      <c r="B58" t="s">
        <v>599</v>
      </c>
      <c r="C58">
        <f t="shared" ca="1" si="5"/>
        <v>0</v>
      </c>
      <c r="D58" s="142">
        <f t="shared" si="6"/>
        <v>44</v>
      </c>
      <c r="E58" s="153" t="s">
        <v>618</v>
      </c>
      <c r="F58" t="b">
        <f t="shared" ca="1" si="7"/>
        <v>0</v>
      </c>
    </row>
    <row r="59" spans="1:6" x14ac:dyDescent="0.25">
      <c r="A59" t="s">
        <v>378</v>
      </c>
      <c r="B59" t="s">
        <v>608</v>
      </c>
      <c r="C59">
        <f t="shared" ca="1" si="5"/>
        <v>0</v>
      </c>
      <c r="D59" s="142">
        <f t="shared" si="6"/>
        <v>44</v>
      </c>
      <c r="E59" s="153" t="s">
        <v>618</v>
      </c>
      <c r="F59" t="b">
        <f t="shared" ca="1" si="7"/>
        <v>0</v>
      </c>
    </row>
    <row r="60" spans="1:6" x14ac:dyDescent="0.25">
      <c r="A60" t="s">
        <v>350</v>
      </c>
      <c r="B60" t="s">
        <v>580</v>
      </c>
      <c r="C60">
        <f t="shared" ca="1" si="5"/>
        <v>0</v>
      </c>
      <c r="D60" s="142">
        <f t="shared" si="6"/>
        <v>46</v>
      </c>
      <c r="E60" s="153" t="s">
        <v>618</v>
      </c>
      <c r="F60" t="b">
        <f t="shared" ca="1" si="7"/>
        <v>0</v>
      </c>
    </row>
    <row r="61" spans="1:6" x14ac:dyDescent="0.25">
      <c r="A61" t="s">
        <v>351</v>
      </c>
      <c r="B61" t="s">
        <v>581</v>
      </c>
      <c r="C61">
        <f t="shared" ca="1" si="5"/>
        <v>0</v>
      </c>
      <c r="D61" s="142">
        <f t="shared" si="6"/>
        <v>47</v>
      </c>
      <c r="E61" s="153" t="s">
        <v>618</v>
      </c>
      <c r="F61" t="b">
        <f t="shared" ca="1" si="7"/>
        <v>0</v>
      </c>
    </row>
    <row r="62" spans="1:6" x14ac:dyDescent="0.25">
      <c r="A62" t="s">
        <v>352</v>
      </c>
      <c r="B62" t="s">
        <v>582</v>
      </c>
      <c r="C62">
        <f t="shared" ca="1" si="5"/>
        <v>0</v>
      </c>
      <c r="D62" s="142">
        <f t="shared" si="6"/>
        <v>48</v>
      </c>
      <c r="E62" s="153" t="s">
        <v>618</v>
      </c>
      <c r="F62" t="b">
        <f t="shared" ca="1" si="7"/>
        <v>0</v>
      </c>
    </row>
    <row r="63" spans="1:6" x14ac:dyDescent="0.25">
      <c r="A63" t="s">
        <v>353</v>
      </c>
      <c r="B63" t="s">
        <v>583</v>
      </c>
      <c r="C63">
        <f t="shared" ca="1" si="5"/>
        <v>0</v>
      </c>
      <c r="D63" s="142">
        <f t="shared" si="6"/>
        <v>49</v>
      </c>
      <c r="E63" s="153" t="s">
        <v>618</v>
      </c>
      <c r="F63" t="b">
        <f t="shared" ca="1" si="7"/>
        <v>0</v>
      </c>
    </row>
    <row r="64" spans="1:6" x14ac:dyDescent="0.25">
      <c r="A64" t="s">
        <v>303</v>
      </c>
      <c r="B64" t="s">
        <v>531</v>
      </c>
      <c r="C64">
        <f t="shared" ca="1" si="5"/>
        <v>0</v>
      </c>
      <c r="D64" s="142">
        <f t="shared" si="6"/>
        <v>51</v>
      </c>
      <c r="E64" s="153" t="s">
        <v>618</v>
      </c>
      <c r="F64" t="b">
        <f t="shared" ca="1" si="7"/>
        <v>0</v>
      </c>
    </row>
    <row r="65" spans="1:6" x14ac:dyDescent="0.25">
      <c r="A65" t="s">
        <v>330</v>
      </c>
      <c r="B65" t="s">
        <v>560</v>
      </c>
      <c r="C65" t="str">
        <f t="shared" ca="1" si="5"/>
        <v/>
      </c>
      <c r="D65" s="142">
        <f t="shared" si="6"/>
        <v>51</v>
      </c>
      <c r="E65" s="153" t="s">
        <v>618</v>
      </c>
      <c r="F65" t="b">
        <f t="shared" ca="1" si="7"/>
        <v>0</v>
      </c>
    </row>
    <row r="66" spans="1:6" x14ac:dyDescent="0.25">
      <c r="A66" t="s">
        <v>346</v>
      </c>
      <c r="B66" t="s">
        <v>576</v>
      </c>
      <c r="C66">
        <f t="shared" ref="C66:C85" ca="1" si="8">INDIRECT(A66)</f>
        <v>0</v>
      </c>
      <c r="D66" s="142">
        <f t="shared" ref="D66:D85" si="9">VALUE(MID(B66,FIND("$",B66,FIND("$",B66,1)+1)+1,3))</f>
        <v>51</v>
      </c>
      <c r="E66" s="153" t="s">
        <v>618</v>
      </c>
      <c r="F66" t="b">
        <f t="shared" ref="F66:F85" ca="1" si="10">ISERR(C66)</f>
        <v>0</v>
      </c>
    </row>
    <row r="67" spans="1:6" x14ac:dyDescent="0.25">
      <c r="A67" t="s">
        <v>304</v>
      </c>
      <c r="B67" t="s">
        <v>532</v>
      </c>
      <c r="C67">
        <f t="shared" ca="1" si="8"/>
        <v>0</v>
      </c>
      <c r="D67" s="142">
        <f t="shared" si="9"/>
        <v>52</v>
      </c>
      <c r="E67" s="153" t="s">
        <v>618</v>
      </c>
      <c r="F67" t="b">
        <f t="shared" ca="1" si="10"/>
        <v>0</v>
      </c>
    </row>
    <row r="68" spans="1:6" x14ac:dyDescent="0.25">
      <c r="A68" t="s">
        <v>331</v>
      </c>
      <c r="B68" t="s">
        <v>561</v>
      </c>
      <c r="C68" t="str">
        <f t="shared" ca="1" si="8"/>
        <v/>
      </c>
      <c r="D68" s="142">
        <f t="shared" si="9"/>
        <v>52</v>
      </c>
      <c r="E68" s="153" t="s">
        <v>618</v>
      </c>
      <c r="F68" t="b">
        <f t="shared" ca="1" si="10"/>
        <v>0</v>
      </c>
    </row>
    <row r="69" spans="1:6" x14ac:dyDescent="0.25">
      <c r="A69" t="s">
        <v>347</v>
      </c>
      <c r="B69" t="s">
        <v>577</v>
      </c>
      <c r="C69">
        <f t="shared" ca="1" si="8"/>
        <v>0</v>
      </c>
      <c r="D69" s="142">
        <f t="shared" si="9"/>
        <v>52</v>
      </c>
      <c r="E69" s="153" t="s">
        <v>618</v>
      </c>
      <c r="F69" t="b">
        <f t="shared" ca="1" si="10"/>
        <v>0</v>
      </c>
    </row>
    <row r="70" spans="1:6" x14ac:dyDescent="0.25">
      <c r="A70" t="s">
        <v>305</v>
      </c>
      <c r="B70" t="s">
        <v>533</v>
      </c>
      <c r="C70">
        <f t="shared" ca="1" si="8"/>
        <v>0</v>
      </c>
      <c r="D70" s="142">
        <f t="shared" si="9"/>
        <v>53</v>
      </c>
      <c r="E70" s="153" t="s">
        <v>618</v>
      </c>
      <c r="F70" t="b">
        <f t="shared" ca="1" si="10"/>
        <v>0</v>
      </c>
    </row>
    <row r="71" spans="1:6" x14ac:dyDescent="0.25">
      <c r="A71" t="s">
        <v>332</v>
      </c>
      <c r="B71" t="s">
        <v>562</v>
      </c>
      <c r="C71" t="str">
        <f t="shared" ca="1" si="8"/>
        <v/>
      </c>
      <c r="D71" s="142">
        <f t="shared" si="9"/>
        <v>53</v>
      </c>
      <c r="E71" s="153" t="s">
        <v>618</v>
      </c>
      <c r="F71" t="b">
        <f t="shared" ca="1" si="10"/>
        <v>0</v>
      </c>
    </row>
    <row r="72" spans="1:6" x14ac:dyDescent="0.25">
      <c r="A72" t="s">
        <v>348</v>
      </c>
      <c r="B72" t="s">
        <v>578</v>
      </c>
      <c r="C72">
        <f t="shared" ca="1" si="8"/>
        <v>0</v>
      </c>
      <c r="D72" s="142">
        <f t="shared" si="9"/>
        <v>53</v>
      </c>
      <c r="E72" s="153" t="s">
        <v>618</v>
      </c>
      <c r="F72" t="b">
        <f t="shared" ca="1" si="10"/>
        <v>0</v>
      </c>
    </row>
    <row r="73" spans="1:6" x14ac:dyDescent="0.25">
      <c r="A73" t="s">
        <v>306</v>
      </c>
      <c r="B73" t="s">
        <v>534</v>
      </c>
      <c r="C73">
        <f t="shared" ca="1" si="8"/>
        <v>0</v>
      </c>
      <c r="D73" s="142">
        <f t="shared" si="9"/>
        <v>54</v>
      </c>
      <c r="E73" s="153" t="s">
        <v>618</v>
      </c>
      <c r="F73" t="b">
        <f t="shared" ca="1" si="10"/>
        <v>0</v>
      </c>
    </row>
    <row r="74" spans="1:6" x14ac:dyDescent="0.25">
      <c r="A74" t="s">
        <v>333</v>
      </c>
      <c r="B74" t="s">
        <v>563</v>
      </c>
      <c r="C74" t="str">
        <f t="shared" ca="1" si="8"/>
        <v/>
      </c>
      <c r="D74" s="142">
        <f t="shared" si="9"/>
        <v>54</v>
      </c>
      <c r="E74" s="153" t="s">
        <v>618</v>
      </c>
      <c r="F74" t="b">
        <f t="shared" ca="1" si="10"/>
        <v>0</v>
      </c>
    </row>
    <row r="75" spans="1:6" x14ac:dyDescent="0.25">
      <c r="A75" t="s">
        <v>349</v>
      </c>
      <c r="B75" t="s">
        <v>579</v>
      </c>
      <c r="C75">
        <f t="shared" ca="1" si="8"/>
        <v>0</v>
      </c>
      <c r="D75" s="142">
        <f t="shared" si="9"/>
        <v>54</v>
      </c>
      <c r="E75" s="153" t="s">
        <v>618</v>
      </c>
      <c r="F75" t="b">
        <f t="shared" ca="1" si="10"/>
        <v>0</v>
      </c>
    </row>
    <row r="76" spans="1:6" x14ac:dyDescent="0.25">
      <c r="A76" t="s">
        <v>317</v>
      </c>
      <c r="B76" t="s">
        <v>546</v>
      </c>
      <c r="C76">
        <f t="shared" ca="1" si="8"/>
        <v>0</v>
      </c>
      <c r="D76" s="142">
        <f t="shared" si="9"/>
        <v>56</v>
      </c>
      <c r="E76" s="153" t="s">
        <v>618</v>
      </c>
      <c r="F76" t="b">
        <f t="shared" ca="1" si="10"/>
        <v>0</v>
      </c>
    </row>
    <row r="77" spans="1:6" x14ac:dyDescent="0.25">
      <c r="A77" t="s">
        <v>342</v>
      </c>
      <c r="B77" t="s">
        <v>572</v>
      </c>
      <c r="C77">
        <f t="shared" ca="1" si="8"/>
        <v>0</v>
      </c>
      <c r="D77" s="142">
        <f t="shared" si="9"/>
        <v>56</v>
      </c>
      <c r="E77" s="153" t="s">
        <v>618</v>
      </c>
      <c r="F77" t="b">
        <f t="shared" ca="1" si="10"/>
        <v>0</v>
      </c>
    </row>
    <row r="78" spans="1:6" x14ac:dyDescent="0.25">
      <c r="A78" t="s">
        <v>343</v>
      </c>
      <c r="B78" t="s">
        <v>573</v>
      </c>
      <c r="C78">
        <f t="shared" ca="1" si="8"/>
        <v>0</v>
      </c>
      <c r="D78" s="142">
        <f t="shared" si="9"/>
        <v>56</v>
      </c>
      <c r="E78" s="153" t="s">
        <v>618</v>
      </c>
      <c r="F78" t="b">
        <f t="shared" ca="1" si="10"/>
        <v>0</v>
      </c>
    </row>
    <row r="79" spans="1:6" x14ac:dyDescent="0.25">
      <c r="A79" t="s">
        <v>344</v>
      </c>
      <c r="B79" t="s">
        <v>574</v>
      </c>
      <c r="C79">
        <f t="shared" ca="1" si="8"/>
        <v>0</v>
      </c>
      <c r="D79" s="142">
        <f t="shared" si="9"/>
        <v>56</v>
      </c>
      <c r="E79" s="153" t="s">
        <v>618</v>
      </c>
      <c r="F79" t="b">
        <f t="shared" ca="1" si="10"/>
        <v>0</v>
      </c>
    </row>
    <row r="80" spans="1:6" x14ac:dyDescent="0.25">
      <c r="A80" t="s">
        <v>345</v>
      </c>
      <c r="B80" t="s">
        <v>575</v>
      </c>
      <c r="C80">
        <f t="shared" ca="1" si="8"/>
        <v>0</v>
      </c>
      <c r="D80" s="142">
        <f t="shared" si="9"/>
        <v>56</v>
      </c>
      <c r="E80" s="153" t="s">
        <v>618</v>
      </c>
      <c r="F80" t="b">
        <f t="shared" ca="1" si="10"/>
        <v>0</v>
      </c>
    </row>
    <row r="81" spans="1:6" x14ac:dyDescent="0.25">
      <c r="A81" t="s">
        <v>355</v>
      </c>
      <c r="B81" t="s">
        <v>585</v>
      </c>
      <c r="C81">
        <f t="shared" ca="1" si="8"/>
        <v>0</v>
      </c>
      <c r="D81" s="142">
        <f t="shared" si="9"/>
        <v>59</v>
      </c>
      <c r="E81" s="153" t="s">
        <v>613</v>
      </c>
      <c r="F81" t="b">
        <f t="shared" ca="1" si="10"/>
        <v>0</v>
      </c>
    </row>
    <row r="82" spans="1:6" x14ac:dyDescent="0.25">
      <c r="A82" t="s">
        <v>361</v>
      </c>
      <c r="B82" t="s">
        <v>585</v>
      </c>
      <c r="C82">
        <f t="shared" ca="1" si="8"/>
        <v>0</v>
      </c>
      <c r="D82" s="142">
        <f t="shared" si="9"/>
        <v>59</v>
      </c>
      <c r="E82" s="153" t="s">
        <v>613</v>
      </c>
      <c r="F82" t="b">
        <f t="shared" ca="1" si="10"/>
        <v>0</v>
      </c>
    </row>
    <row r="83" spans="1:6" x14ac:dyDescent="0.25">
      <c r="A83" t="s">
        <v>301</v>
      </c>
      <c r="B83" t="s">
        <v>529</v>
      </c>
      <c r="C83">
        <f t="shared" ca="1" si="8"/>
        <v>0</v>
      </c>
      <c r="D83" s="142">
        <f t="shared" si="9"/>
        <v>67</v>
      </c>
      <c r="E83" s="153" t="s">
        <v>614</v>
      </c>
      <c r="F83" t="b">
        <f t="shared" ca="1" si="10"/>
        <v>0</v>
      </c>
    </row>
    <row r="84" spans="1:6" x14ac:dyDescent="0.25">
      <c r="A84" t="s">
        <v>381</v>
      </c>
      <c r="B84" t="s">
        <v>611</v>
      </c>
      <c r="C84">
        <f t="shared" ca="1" si="8"/>
        <v>0</v>
      </c>
      <c r="D84" s="142">
        <f t="shared" si="9"/>
        <v>77</v>
      </c>
      <c r="E84" s="153" t="s">
        <v>615</v>
      </c>
      <c r="F84" t="b">
        <f t="shared" ca="1" si="10"/>
        <v>0</v>
      </c>
    </row>
    <row r="85" spans="1:6" x14ac:dyDescent="0.25">
      <c r="A85" t="s">
        <v>380</v>
      </c>
      <c r="B85" t="s">
        <v>610</v>
      </c>
      <c r="C85" t="str">
        <f t="shared" ca="1" si="8"/>
        <v>0/0/</v>
      </c>
      <c r="D85" s="142">
        <f t="shared" si="9"/>
        <v>79</v>
      </c>
      <c r="E85" s="153" t="s">
        <v>615</v>
      </c>
      <c r="F85" t="b">
        <f t="shared" ca="1" si="10"/>
        <v>0</v>
      </c>
    </row>
  </sheetData>
  <sheetProtection selectLockedCells="1"/>
  <autoFilter ref="A1:F85" xr:uid="{1269D508-EB4F-43C7-811B-39F16AB39B09}">
    <sortState xmlns:xlrd2="http://schemas.microsoft.com/office/spreadsheetml/2017/richdata2" ref="A2:F85">
      <sortCondition ref="D2"/>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43"/>
  <sheetViews>
    <sheetView zoomScale="80" zoomScaleNormal="80" workbookViewId="0">
      <selection activeCell="D29" sqref="D29"/>
    </sheetView>
  </sheetViews>
  <sheetFormatPr defaultRowHeight="15" x14ac:dyDescent="0.25"/>
  <cols>
    <col min="9" max="9" width="11.5703125" bestFit="1" customWidth="1"/>
    <col min="10" max="10" width="12.5703125" customWidth="1"/>
    <col min="12" max="12" width="14.42578125" customWidth="1"/>
    <col min="20" max="20" width="16.5703125" customWidth="1"/>
    <col min="23" max="23" width="25.42578125" customWidth="1"/>
  </cols>
  <sheetData>
    <row r="1" spans="1:26" x14ac:dyDescent="0.25">
      <c r="A1" t="s">
        <v>429</v>
      </c>
      <c r="G1" s="83" t="s">
        <v>66</v>
      </c>
      <c r="I1">
        <f>'QAF628'!C34</f>
        <v>0</v>
      </c>
      <c r="J1">
        <f>'QAF628'!E34</f>
        <v>0</v>
      </c>
      <c r="K1" s="73">
        <f>VALUE(LEFT(I1,2))</f>
        <v>0</v>
      </c>
      <c r="L1" s="74" t="e">
        <f>VALUE(MID(I1,FIND("'",I1,1)-2,2)/60)</f>
        <v>#VALUE!</v>
      </c>
      <c r="M1" s="74" t="e">
        <f>VALUE(MID(I1,FIND("'",I1,1)+1,FIND("""",I1,FIND("'",I1,1)+1)-FIND("'",I1,1)-1))/3600</f>
        <v>#VALUE!</v>
      </c>
      <c r="N1" s="74">
        <f>VALUE(LEFT(J1,2))</f>
        <v>0</v>
      </c>
      <c r="O1" s="74" t="e">
        <f>VALUE(MID(J1,FIND("'",J1,1)-2,2)/60)</f>
        <v>#VALUE!</v>
      </c>
      <c r="P1" s="74" t="e">
        <f>VALUE(MID(J1,FIND("'",J1,1)+1,FIND("""",J1,FIND("'",J1,1)+1)-FIND("'",J1,1)-1))/3600</f>
        <v>#VALUE!</v>
      </c>
      <c r="Q1" s="74" t="b">
        <f>IF(AND(K1&gt;=42,K1&lt;=50),TRUE,FALSE)</f>
        <v>0</v>
      </c>
      <c r="R1" s="74" t="b">
        <f>IFERROR(AND(VALUE(L2)&lt;=59.99999,VALUE(L2)&gt;=0),FALSE)</f>
        <v>0</v>
      </c>
      <c r="S1" s="74" t="b">
        <f>IFERROR(AND(VALUE(M2)&lt;=59,VALUE(M2)&gt;=0),FALSE)</f>
        <v>0</v>
      </c>
      <c r="T1" s="73" t="str">
        <f>IF(AND(ISNUMBER(I1),K1&gt;41,K1&lt;50),"LAT ok",IF(Q1=FALSE,"grade LAT nok",IF(R1=FALSE,"minute LAT nok",IF(S1=FALSE,"secunde LAT nok","LAT ok"))))</f>
        <v>grade LAT nok</v>
      </c>
      <c r="U1" s="72" t="b">
        <f>IF(ISNUMBER(M1+O1)=TRUE,TRUE,IF(AND(NOT(ISNUMBER(M1)),NOT(ISNUMBER(O1))),TRUE,FALSE))</f>
        <v>1</v>
      </c>
      <c r="V1" s="77" t="str">
        <f>IF(AND(ISNUMBER(I1),ISNUMBER(J1)),I1&amp;", "&amp;J1,VALUE(LEFT(K1+L1+M1,6))&amp;", "&amp; VALUE(LEFT(N1+O1+P1,6)))</f>
        <v>0, 0</v>
      </c>
      <c r="W1" s="80" t="str">
        <f>IF(AND(ISBLANK(I1),ISBLANK(J1)),"",IF(U1,T1&amp;", "&amp;T2,"nu e acelasi mod de completare"))</f>
        <v>grade LAT nok, grade LONG nok</v>
      </c>
      <c r="Y1" t="s">
        <v>386</v>
      </c>
    </row>
    <row r="2" spans="1:26" x14ac:dyDescent="0.25">
      <c r="A2" t="s">
        <v>430</v>
      </c>
      <c r="G2" s="84" t="s">
        <v>74</v>
      </c>
      <c r="K2" s="75"/>
      <c r="L2" s="74" t="e">
        <f>MID(I1,FIND("'",I1,1)-2,2)</f>
        <v>#VALUE!</v>
      </c>
      <c r="M2" s="74" t="e">
        <f>MID(I1,FIND("'",I1,1)+1,FIND("""",I1,FIND("'",I1,1)+1)-FIND("'",I1,1)-1)</f>
        <v>#VALUE!</v>
      </c>
      <c r="N2" s="74"/>
      <c r="O2" s="74" t="e">
        <f>MID(J1,FIND("'",J1,1)-2,2)</f>
        <v>#VALUE!</v>
      </c>
      <c r="P2" s="74" t="e">
        <f>MID(J1,FIND("'",J1,1)+1,FIND("""",J1,FIND("'",J1,1)+1)-FIND("'",J1,1)-1)</f>
        <v>#VALUE!</v>
      </c>
      <c r="Q2" s="74" t="b">
        <f>IF(AND(N1&gt;=20, N1&lt;=31),TRUE,FALSE)</f>
        <v>0</v>
      </c>
      <c r="R2" s="74" t="b">
        <f>IFERROR(AND(VALUE(O2)&lt;=59,VALUE(O2)&gt;=0),FALSE)</f>
        <v>0</v>
      </c>
      <c r="S2" s="74" t="b">
        <f>IFERROR(AND(VALUE(P2)&lt;=59,VALUE(P2)&gt;=0),FALSE)</f>
        <v>0</v>
      </c>
      <c r="T2" s="73" t="str">
        <f>IF(AND(ISNUMBER(J1),N1&gt;=20,N1&lt;=31),"LONG ok",IF(Q2=FALSE,"grade LONG nok",IF(R2=FALSE,"minute LONG nok",IF(S2=FALSE,"secunde LONG nok","LONG ok"))))</f>
        <v>grade LONG nok</v>
      </c>
    </row>
    <row r="3" spans="1:26" x14ac:dyDescent="0.25">
      <c r="A3" t="s">
        <v>29</v>
      </c>
      <c r="G3" s="84" t="s">
        <v>75</v>
      </c>
    </row>
    <row r="4" spans="1:26" x14ac:dyDescent="0.25">
      <c r="A4" t="s">
        <v>30</v>
      </c>
      <c r="G4" s="84" t="s">
        <v>76</v>
      </c>
      <c r="I4">
        <f>'QAF628'!C38</f>
        <v>0</v>
      </c>
      <c r="J4">
        <f>'QAF628'!E38</f>
        <v>0</v>
      </c>
      <c r="K4" s="73">
        <f>VALUE(LEFT(I4,2))</f>
        <v>0</v>
      </c>
      <c r="L4" s="74" t="e">
        <f>VALUE(MID(I4,FIND("'",I4,1)-2,2)/60)</f>
        <v>#VALUE!</v>
      </c>
      <c r="M4" s="74" t="e">
        <f>VALUE(MID(I4,FIND("'",I4,1)+1,FIND("""",I4,FIND("'",I4,1)+1)-FIND("'",I4,1)-1))/3600</f>
        <v>#VALUE!</v>
      </c>
      <c r="N4" s="74">
        <f>VALUE(LEFT(J4,2))</f>
        <v>0</v>
      </c>
      <c r="O4" s="74" t="e">
        <f>VALUE(MID(J4,FIND("'",J4,1)-2,2)/60)</f>
        <v>#VALUE!</v>
      </c>
      <c r="P4" s="74" t="e">
        <f>VALUE(MID(J4,FIND("'",J4,1)+1,FIND("""",J4,FIND("'",J4,1)+1)-FIND("'",J4,1)-1))/3600</f>
        <v>#VALUE!</v>
      </c>
      <c r="Q4" s="74" t="b">
        <f>IF(AND(K4&gt;=42,K4&lt;=50),TRUE,FALSE)</f>
        <v>0</v>
      </c>
      <c r="R4" s="74" t="b">
        <f>IFERROR(AND(VALUE(L5)&lt;=59,VALUE(L5)&gt;=0),FALSE)</f>
        <v>0</v>
      </c>
      <c r="S4" s="74" t="b">
        <f>IFERROR(AND(VALUE(M5)&lt;=59,VALUE(M5)&gt;=0),FALSE)</f>
        <v>0</v>
      </c>
      <c r="T4" s="73" t="str">
        <f>IF(AND(ISNUMBER(I4),K4&gt;41,K4&lt;50),"LAT ok",IF(Q4=FALSE,"grade LAT nok",IF(R4=FALSE,"minute LAT nok",IF(S4=FALSE,"secunde LAT nok","LAT ok"))))</f>
        <v>grade LAT nok</v>
      </c>
      <c r="U4" s="72" t="b">
        <f>IF(ISNUMBER(M4+O4)=TRUE,TRUE,IF(AND(NOT(ISNUMBER(M4)),NOT(ISNUMBER(O4))),TRUE,FALSE))</f>
        <v>1</v>
      </c>
      <c r="V4" s="77" t="str">
        <f>IF(AND(ISNUMBER(I4),ISNUMBER(J4)),I4&amp;", "&amp;J4,VALUE(LEFT(K4+L4+M4,6))&amp;", "&amp; VALUE(LEFT(N4+O4+P4,6)))</f>
        <v>0, 0</v>
      </c>
      <c r="W4" s="80" t="str">
        <f>IF(AND(ISBLANK(I4),ISBLANK(J4)),"",IF(U4,T4&amp;", "&amp;T5,"nu e acelasi mod de completare"))</f>
        <v>grade LAT nok, grade LONG nok</v>
      </c>
      <c r="Y4" t="s">
        <v>387</v>
      </c>
    </row>
    <row r="5" spans="1:26" x14ac:dyDescent="0.25">
      <c r="A5" t="s">
        <v>431</v>
      </c>
      <c r="G5" s="84" t="s">
        <v>77</v>
      </c>
      <c r="K5" s="75"/>
      <c r="L5" s="74" t="e">
        <f>MID(I4,FIND("'",I4,1)-2,2)</f>
        <v>#VALUE!</v>
      </c>
      <c r="M5" s="74" t="e">
        <f>MID(I4,FIND("'",I4,1)+1,FIND("""",I4,FIND("'",I4,1)+1)-FIND("'",I4,1)-1)</f>
        <v>#VALUE!</v>
      </c>
      <c r="N5" s="74"/>
      <c r="O5" s="74" t="e">
        <f>MID(J4,FIND("'",J4,1)-2,2)</f>
        <v>#VALUE!</v>
      </c>
      <c r="P5" s="74" t="e">
        <f>MID(J4,FIND("'",J4,1)+1,FIND("""",J4,FIND("'",J4,1)+1)-FIND("'",J4,1)-1)</f>
        <v>#VALUE!</v>
      </c>
      <c r="Q5" s="74" t="b">
        <f>IF(AND(N4&gt;=20, N4&lt;=31),TRUE,FALSE)</f>
        <v>0</v>
      </c>
      <c r="R5" s="74" t="b">
        <f>IFERROR(AND(VALUE(O5)&lt;=59,VALUE(O5)&gt;=0),FALSE)</f>
        <v>0</v>
      </c>
      <c r="S5" s="74" t="b">
        <f>IFERROR(AND(VALUE(P5)&lt;=59,VALUE(P5)&gt;=0),FALSE)</f>
        <v>0</v>
      </c>
      <c r="T5" s="73" t="str">
        <f>IF(AND(ISNUMBER(J4),N4&gt;=20,N4&lt;=31),"LONG ok",IF(Q5=FALSE,"grade LONG nok",IF(R5=FALSE,"minute LONG nok",IF(S5=FALSE,"secunde LONG nok","LONG ok"))))</f>
        <v>grade LONG nok</v>
      </c>
    </row>
    <row r="6" spans="1:26" x14ac:dyDescent="0.25">
      <c r="A6" t="s">
        <v>31</v>
      </c>
      <c r="G6" s="84" t="s">
        <v>78</v>
      </c>
    </row>
    <row r="7" spans="1:26" x14ac:dyDescent="0.25">
      <c r="A7" t="s">
        <v>623</v>
      </c>
      <c r="G7" s="84" t="s">
        <v>79</v>
      </c>
      <c r="I7">
        <f>'QAF628'!C41</f>
        <v>0</v>
      </c>
      <c r="J7">
        <f>'QAF628'!E41</f>
        <v>0</v>
      </c>
      <c r="K7" s="73">
        <f>VALUE(LEFT(I7,2))</f>
        <v>0</v>
      </c>
      <c r="L7" s="74" t="e">
        <f>VALUE(MID(I7,FIND("'",I7,1)-2,2)/60)</f>
        <v>#VALUE!</v>
      </c>
      <c r="M7" s="74" t="e">
        <f>VALUE(MID(I7,FIND("'",I7,1)+1,FIND("""",I7,FIND("'",I7,1)+1)-FIND("'",I7,1)-1))/3600</f>
        <v>#VALUE!</v>
      </c>
      <c r="N7" s="74">
        <f>VALUE(LEFT(J7,2))</f>
        <v>0</v>
      </c>
      <c r="O7" s="74" t="e">
        <f>VALUE(MID(J7,FIND("'",J7,1)-2,2)/60)</f>
        <v>#VALUE!</v>
      </c>
      <c r="P7" s="74" t="e">
        <f>VALUE(MID(J7,FIND("'",J7,1)+1,FIND("""",J7,FIND("'",J7,1)+1)-FIND("'",J7,1)-1))/3600</f>
        <v>#VALUE!</v>
      </c>
      <c r="Q7" s="74" t="b">
        <f>IF(AND(K7&gt;=42,K7&lt;=50),TRUE,FALSE)</f>
        <v>0</v>
      </c>
      <c r="R7" s="76" t="b">
        <f>IFERROR(AND(VALUE(L8)&lt;=59,VALUE(L8)&gt;=0),FALSE)</f>
        <v>0</v>
      </c>
      <c r="S7" s="76" t="b">
        <f>IFERROR(AND(VALUE(M8)&lt;=59,VALUE(M8)&gt;=0),FALSE)</f>
        <v>0</v>
      </c>
      <c r="T7" s="73" t="str">
        <f>IF(AND(ISNUMBER(I7),K7&gt;41,K7&lt;50),"LAT ok",IF(Q7=FALSE,"grade LAT nok",IF(R7=FALSE,"minute LAT nok",IF(S7=FALSE,"secunde LAT nok","LAT ok"))))</f>
        <v>grade LAT nok</v>
      </c>
      <c r="U7" s="72" t="b">
        <f>IF(ISNUMBER(M7+O7)=TRUE,TRUE,IF(AND(NOT(ISNUMBER(M7)),NOT(ISNUMBER(O7))),TRUE,FALSE))</f>
        <v>1</v>
      </c>
      <c r="V7" s="77" t="str">
        <f>IF(AND(ISNUMBER(I7),ISNUMBER(J7)),I7&amp;", "&amp;J7,VALUE(LEFT(K7+L7+M7,6))&amp;", "&amp; VALUE(LEFT(N7+O7+P7,6)))</f>
        <v>0, 0</v>
      </c>
      <c r="W7" s="80" t="str">
        <f>IF(AND(ISBLANK(I7),ISBLANK(J7)),"",IF(U7,T7&amp;", "&amp;T8,"nu e acelasi mod de completare"))</f>
        <v>grade LAT nok, grade LONG nok</v>
      </c>
      <c r="X7" s="79"/>
      <c r="Y7" s="79" t="s">
        <v>388</v>
      </c>
      <c r="Z7" s="79"/>
    </row>
    <row r="8" spans="1:26" x14ac:dyDescent="0.25">
      <c r="A8" t="s">
        <v>32</v>
      </c>
      <c r="G8" s="84" t="s">
        <v>80</v>
      </c>
      <c r="K8" s="75"/>
      <c r="L8" s="74" t="e">
        <f>MID(I7,FIND("'",I7,1)-2,2)</f>
        <v>#VALUE!</v>
      </c>
      <c r="M8" s="74" t="e">
        <f>MID(I7,FIND("'",I7,1)+1,FIND("""",I7,FIND("'",I7,1)+1)-FIND("'",I7,1)-1)</f>
        <v>#VALUE!</v>
      </c>
      <c r="N8" s="74"/>
      <c r="O8" s="74" t="e">
        <f>MID(J7,FIND("'",J7,1)-2,2)</f>
        <v>#VALUE!</v>
      </c>
      <c r="P8" s="74" t="e">
        <f>MID(J7,FIND("'",J7,1)+1,FIND("""",J7,FIND("'",J7,1)+1)-FIND("'",J7,1)-1)</f>
        <v>#VALUE!</v>
      </c>
      <c r="Q8" s="74" t="b">
        <f>IF(AND(N7&gt;=20, N7&lt;=31),TRUE,FALSE)</f>
        <v>0</v>
      </c>
      <c r="R8" s="76" t="b">
        <f>IFERROR(AND(VALUE(O8)&lt;=59,VALUE(O8)&gt;=0),FALSE)</f>
        <v>0</v>
      </c>
      <c r="S8" s="76" t="b">
        <f>IFERROR(AND(VALUE(P8)&lt;=59,VALUE(P8)&gt;=0),FALSE)</f>
        <v>0</v>
      </c>
      <c r="T8" s="73" t="str">
        <f>IF(AND(ISNUMBER(J7),N7&gt;=20,N7&lt;=31),"LONG ok",IF(Q8=FALSE,"grade LONG nok",IF(R8=FALSE,"minute LONG nok",IF(S8=FALSE,"secunde LONG nok","LONG ok"))))</f>
        <v>grade LONG nok</v>
      </c>
    </row>
    <row r="9" spans="1:26" x14ac:dyDescent="0.25">
      <c r="G9" s="84" t="s">
        <v>81</v>
      </c>
      <c r="T9" s="78"/>
    </row>
    <row r="10" spans="1:26" x14ac:dyDescent="0.25">
      <c r="C10" t="s">
        <v>58</v>
      </c>
      <c r="D10" t="s">
        <v>73</v>
      </c>
      <c r="E10" t="s">
        <v>36</v>
      </c>
      <c r="G10" s="84" t="s">
        <v>82</v>
      </c>
      <c r="I10">
        <f>'QAF628'!C42</f>
        <v>0</v>
      </c>
      <c r="J10">
        <f>'QAF628'!E42</f>
        <v>0</v>
      </c>
      <c r="K10" s="73">
        <f>VALUE(LEFT(I10,2))</f>
        <v>0</v>
      </c>
      <c r="L10" s="74" t="e">
        <f>VALUE(MID(I10,FIND("'",I10,1)-2,2)/60)</f>
        <v>#VALUE!</v>
      </c>
      <c r="M10" s="74" t="e">
        <f>VALUE(MID(I10,FIND("'",I10,1)+1,FIND("""",I10,FIND("'",I10,1)+1)-FIND("'",I10,1)-1))/3600</f>
        <v>#VALUE!</v>
      </c>
      <c r="N10" s="74">
        <f>VALUE(LEFT(J10,2))</f>
        <v>0</v>
      </c>
      <c r="O10" s="74" t="e">
        <f>VALUE(MID(J10,FIND("'",J10,1)-2,2)/60)</f>
        <v>#VALUE!</v>
      </c>
      <c r="P10" s="74" t="e">
        <f>VALUE(MID(J10,FIND("'",J10,1)+1,FIND("""",J10,FIND("'",J10,1)+1)-FIND("'",J10,1)-1))/3600</f>
        <v>#VALUE!</v>
      </c>
      <c r="Q10" s="74" t="b">
        <f>IF(AND(K10&gt;=42,K10&lt;=50),TRUE,FALSE)</f>
        <v>0</v>
      </c>
      <c r="R10" s="76" t="b">
        <f>IFERROR(AND(VALUE(L11)&lt;=59,VALUE(L11)&gt;=0),FALSE)</f>
        <v>0</v>
      </c>
      <c r="S10" s="76" t="b">
        <f>IFERROR(AND(VALUE(M11)&lt;=59,VALUE(M11)&gt;=0),FALSE)</f>
        <v>0</v>
      </c>
      <c r="T10" s="73" t="str">
        <f>IF(AND(ISNUMBER(I10),K10&gt;41,K10&lt;50),"LAT ok",IF(Q10=FALSE,"grade LAT nok",IF(R10=FALSE,"minute LAT nok",IF(S10=FALSE,"secunde LAT nok","LAT ok"))))</f>
        <v>grade LAT nok</v>
      </c>
      <c r="U10" s="72" t="b">
        <f>IF(ISNUMBER(M10+O10)=TRUE,TRUE,IF(AND(NOT(ISNUMBER(M10)),NOT(ISNUMBER(O10))),TRUE,FALSE))</f>
        <v>1</v>
      </c>
      <c r="V10" s="77" t="str">
        <f>IF(AND(ISNUMBER(I10),ISNUMBER(J10)),I10&amp;", "&amp;J10,VALUE(LEFT(K10+L10+M10,6))&amp;", "&amp; VALUE(LEFT(N10+O10+P10,6)))</f>
        <v>0, 0</v>
      </c>
      <c r="W10" s="80" t="str">
        <f>IF(AND(ISBLANK(I10),ISBLANK(J10)),"",IF(U10,T10&amp;", "&amp;T11,"nu e acelasi mod de completare"))</f>
        <v>grade LAT nok, grade LONG nok</v>
      </c>
      <c r="X10" s="79"/>
      <c r="Y10" s="79" t="s">
        <v>389</v>
      </c>
      <c r="Z10" s="79"/>
    </row>
    <row r="11" spans="1:26" x14ac:dyDescent="0.25">
      <c r="A11" t="s">
        <v>33</v>
      </c>
      <c r="C11" t="s">
        <v>67</v>
      </c>
      <c r="D11" t="s">
        <v>70</v>
      </c>
      <c r="E11" t="s">
        <v>60</v>
      </c>
      <c r="G11" s="84" t="s">
        <v>83</v>
      </c>
      <c r="K11" s="75"/>
      <c r="L11" s="74" t="e">
        <f>MID(I10,FIND("'",I10,1)-2,2)</f>
        <v>#VALUE!</v>
      </c>
      <c r="M11" s="74" t="e">
        <f>MID(I10,FIND("'",I10,1)+1,FIND("""",I10,FIND("'",I10,1)+1)-FIND("'",I10,1)-1)</f>
        <v>#VALUE!</v>
      </c>
      <c r="N11" s="74"/>
      <c r="O11" s="74" t="e">
        <f>MID(J10,FIND("'",J10,1)-2,2)</f>
        <v>#VALUE!</v>
      </c>
      <c r="P11" s="74" t="e">
        <f>MID(J10,FIND("'",J10,1)+1,FIND("""",J10,FIND("'",J10,1)+1)-FIND("'",J10,1)-1)</f>
        <v>#VALUE!</v>
      </c>
      <c r="Q11" s="74" t="b">
        <f>IF(AND(N10&gt;=20, N10&lt;=31),TRUE,FALSE)</f>
        <v>0</v>
      </c>
      <c r="R11" s="76" t="b">
        <f>IFERROR(AND(VALUE(O11)&lt;=59,VALUE(O11)&gt;=0),FALSE)</f>
        <v>0</v>
      </c>
      <c r="S11" s="76" t="b">
        <f>IFERROR(AND(VALUE(P11)&lt;=59,VALUE(P11)&gt;=0),FALSE)</f>
        <v>0</v>
      </c>
      <c r="T11" s="73" t="str">
        <f>IF(AND(ISNUMBER(J10),N10&gt;=20,N10&lt;=31),"LONG ok",IF(Q11=FALSE,"grade LONG nok",IF(R11=FALSE,"minute LONG nok",IF(S11=FALSE,"secunde LONG nok","LONG ok"))))</f>
        <v>grade LONG nok</v>
      </c>
    </row>
    <row r="12" spans="1:26" x14ac:dyDescent="0.25">
      <c r="A12" t="s">
        <v>27</v>
      </c>
      <c r="C12" t="s">
        <v>68</v>
      </c>
      <c r="D12" t="s">
        <v>71</v>
      </c>
      <c r="E12" t="s">
        <v>59</v>
      </c>
      <c r="G12" s="84" t="s">
        <v>84</v>
      </c>
      <c r="T12" s="78"/>
    </row>
    <row r="13" spans="1:26" x14ac:dyDescent="0.25">
      <c r="A13" t="s">
        <v>36</v>
      </c>
      <c r="C13" t="s">
        <v>69</v>
      </c>
      <c r="D13" t="s">
        <v>72</v>
      </c>
      <c r="E13" t="s">
        <v>61</v>
      </c>
      <c r="G13" s="84" t="s">
        <v>85</v>
      </c>
      <c r="I13">
        <f>'QAF628'!C43</f>
        <v>0</v>
      </c>
      <c r="J13">
        <f>'QAF628'!E43</f>
        <v>0</v>
      </c>
      <c r="K13" s="73">
        <f>VALUE(LEFT(I13,2))</f>
        <v>0</v>
      </c>
      <c r="L13" s="74" t="e">
        <f>VALUE(MID(I13,FIND("'",I13,1)-2,2)/60)</f>
        <v>#VALUE!</v>
      </c>
      <c r="M13" s="74" t="e">
        <f>VALUE(MID(I13,FIND("'",I13,1)+1,FIND("""",I13,FIND("'",I13,1)+1)-FIND("'",I13,1)-1))/3600</f>
        <v>#VALUE!</v>
      </c>
      <c r="N13" s="74">
        <f>VALUE(LEFT(J13,2))</f>
        <v>0</v>
      </c>
      <c r="O13" s="74" t="e">
        <f>VALUE(MID(J13,FIND("'",J13,1)-2,2)/60)</f>
        <v>#VALUE!</v>
      </c>
      <c r="P13" s="74" t="e">
        <f>VALUE(MID(J13,FIND("'",J13,1)+1,FIND("""",J13,FIND("'",J13,1)+1)-FIND("'",J13,1)-1))/3600</f>
        <v>#VALUE!</v>
      </c>
      <c r="Q13" s="74" t="b">
        <f>IF(AND(K13&gt;=42,K13&lt;=50),TRUE,FALSE)</f>
        <v>0</v>
      </c>
      <c r="R13" s="76" t="b">
        <f>IFERROR(AND(VALUE(L14)&lt;=59,VALUE(L14)&gt;=0),FALSE)</f>
        <v>0</v>
      </c>
      <c r="S13" s="76" t="b">
        <f>IFERROR(AND(VALUE(M14)&lt;=59,VALUE(M14)&gt;=0),FALSE)</f>
        <v>0</v>
      </c>
      <c r="T13" s="73" t="str">
        <f>IF(AND(ISNUMBER(I13),K13&gt;41,K13&lt;50),"LAT ok",IF(Q13=FALSE,"grade LAT nok",IF(R13=FALSE,"minute LAT nok",IF(S13=FALSE,"secunde LAT nok","LAT ok"))))</f>
        <v>grade LAT nok</v>
      </c>
      <c r="U13" s="72" t="b">
        <f>IF(ISNUMBER(M13+O13)=TRUE,TRUE,IF(AND(NOT(ISNUMBER(M13)),NOT(ISNUMBER(O13))),TRUE,FALSE))</f>
        <v>1</v>
      </c>
      <c r="V13" s="77" t="str">
        <f>IF(AND(ISNUMBER(I13),ISNUMBER(J13)),I13&amp;", "&amp;J13,VALUE(LEFT(K13+L13+M13,6))&amp;", "&amp; VALUE(LEFT(N13+O13+P13,6)))</f>
        <v>0, 0</v>
      </c>
      <c r="W13" s="80" t="str">
        <f>IF(AND(ISBLANK(I13),ISBLANK(J13)),"",IF(U13,T13&amp;", "&amp;T14,"nu e acelasi mod de completare"))</f>
        <v>grade LAT nok, grade LONG nok</v>
      </c>
      <c r="X13" s="79"/>
      <c r="Y13" s="79" t="s">
        <v>390</v>
      </c>
      <c r="Z13" s="79"/>
    </row>
    <row r="14" spans="1:26" x14ac:dyDescent="0.25">
      <c r="G14" s="84" t="s">
        <v>86</v>
      </c>
      <c r="K14" s="75"/>
      <c r="L14" s="74" t="e">
        <f>MID(I13,FIND("'",I13,1)-2,2)</f>
        <v>#VALUE!</v>
      </c>
      <c r="M14" s="74" t="e">
        <f>MID(I13,FIND("'",I13,1)+1,FIND("""",I13,FIND("'",I13,1)+1)-FIND("'",I13,1)-1)</f>
        <v>#VALUE!</v>
      </c>
      <c r="N14" s="74"/>
      <c r="O14" s="74" t="e">
        <f>MID(J13,FIND("'",J13,1)-2,2)</f>
        <v>#VALUE!</v>
      </c>
      <c r="P14" s="74" t="e">
        <f>MID(J13,FIND("'",J13,1)+1,FIND("""",J13,FIND("'",J13,1)+1)-FIND("'",J13,1)-1)</f>
        <v>#VALUE!</v>
      </c>
      <c r="Q14" s="74" t="b">
        <f>IF(AND(N13&gt;=20, N13&lt;=31),TRUE,FALSE)</f>
        <v>0</v>
      </c>
      <c r="R14" s="76" t="b">
        <f>IFERROR(AND(VALUE(O14)&lt;=59,VALUE(O14)&gt;=0),FALSE)</f>
        <v>0</v>
      </c>
      <c r="S14" s="76" t="b">
        <f>IFERROR(AND(VALUE(P14)&lt;=59,VALUE(P14)&gt;=0),FALSE)</f>
        <v>0</v>
      </c>
      <c r="T14" s="73" t="str">
        <f>IF(AND(ISNUMBER(J13),N13&gt;=20,N13&lt;=31),"LONG ok",IF(Q14=FALSE,"grade LONG nok",IF(R14=FALSE,"minute LONG nok",IF(S14=FALSE,"secunde LONG nok","LONG ok"))))</f>
        <v>grade LONG nok</v>
      </c>
    </row>
    <row r="15" spans="1:26" x14ac:dyDescent="0.25">
      <c r="G15" s="84" t="s">
        <v>87</v>
      </c>
      <c r="T15" s="78"/>
    </row>
    <row r="16" spans="1:26" x14ac:dyDescent="0.25">
      <c r="A16" t="s">
        <v>34</v>
      </c>
      <c r="G16" s="84" t="s">
        <v>88</v>
      </c>
      <c r="I16">
        <f>'QAF628'!C44</f>
        <v>0</v>
      </c>
      <c r="J16">
        <f>'QAF628'!E44</f>
        <v>0</v>
      </c>
      <c r="K16" s="73">
        <f>VALUE(LEFT(I16,2))</f>
        <v>0</v>
      </c>
      <c r="L16" s="74" t="e">
        <f>VALUE(MID(I16,FIND("'",I16,1)-2,2)/60)</f>
        <v>#VALUE!</v>
      </c>
      <c r="M16" s="74" t="e">
        <f>VALUE(MID(I16,FIND("'",I16,1)+1,FIND("""",I16,FIND("'",I16,1)+1)-FIND("'",I16,1)-1))/3600</f>
        <v>#VALUE!</v>
      </c>
      <c r="N16" s="74">
        <f>VALUE(LEFT(J16,2))</f>
        <v>0</v>
      </c>
      <c r="O16" s="74" t="e">
        <f>VALUE(MID(J16,FIND("'",J16,1)-2,2)/60)</f>
        <v>#VALUE!</v>
      </c>
      <c r="P16" s="74" t="e">
        <f>VALUE(MID(J16,FIND("'",J16,1)+1,FIND("""",J16,FIND("'",J16,1)+1)-FIND("'",J16,1)-1))/3600</f>
        <v>#VALUE!</v>
      </c>
      <c r="Q16" s="74" t="b">
        <f>IF(AND(K16&gt;=42,K16&lt;=50),TRUE,FALSE)</f>
        <v>0</v>
      </c>
      <c r="R16" s="76" t="b">
        <f>IFERROR(AND(VALUE(L17)&lt;=59,VALUE(L17)&gt;=0),FALSE)</f>
        <v>0</v>
      </c>
      <c r="S16" s="76" t="b">
        <f>IFERROR(AND(VALUE(M17)&lt;=59,VALUE(M17)&gt;=0),FALSE)</f>
        <v>0</v>
      </c>
      <c r="T16" s="73" t="str">
        <f>IF(AND(ISNUMBER(I16),K16&gt;42,K16&lt;49),"LAT ok",IF(Q16=FALSE,"grade LAT nok",IF(R16=FALSE,"minute LAT nok",IF(S16=FALSE,"secunde LAT nok","LAT ok"))))</f>
        <v>grade LAT nok</v>
      </c>
      <c r="U16" s="72" t="b">
        <f>IF(ISNUMBER(M16+O16)=TRUE,TRUE,IF(AND(NOT(ISNUMBER(M16)),NOT(ISNUMBER(O16))),TRUE,FALSE))</f>
        <v>1</v>
      </c>
      <c r="V16" s="77" t="str">
        <f>IF(AND(ISNUMBER(I16),ISNUMBER(J16)),I16&amp;", "&amp;J16,VALUE(LEFT(K16+L16+M16,6))&amp;", "&amp; VALUE(LEFT(N16+O16+P16,6)))</f>
        <v>0, 0</v>
      </c>
      <c r="W16" s="80" t="str">
        <f>IF(AND(ISBLANK(I16),ISBLANK(J16)),"",IF(U16,T16&amp;", "&amp;T17,"nu e acelasi mod de completare"))</f>
        <v>grade LAT nok, grade LONG nok</v>
      </c>
      <c r="X16" s="79"/>
      <c r="Y16" s="79" t="s">
        <v>391</v>
      </c>
      <c r="Z16" s="79"/>
    </row>
    <row r="17" spans="1:25" x14ac:dyDescent="0.25">
      <c r="A17" t="s">
        <v>35</v>
      </c>
      <c r="G17" s="84" t="s">
        <v>89</v>
      </c>
      <c r="K17" s="75"/>
      <c r="L17" s="74" t="e">
        <f>MID(I16,FIND("'",I16,1)-2,2)</f>
        <v>#VALUE!</v>
      </c>
      <c r="M17" s="74" t="e">
        <f>MID(I16,FIND("'",I16,1)+1,FIND("""",I16,FIND("'",I16,1)+1)-FIND("'",I16,1)-1)</f>
        <v>#VALUE!</v>
      </c>
      <c r="N17" s="74"/>
      <c r="O17" s="74" t="e">
        <f>MID(J16,FIND("'",J16,1)-2,2)</f>
        <v>#VALUE!</v>
      </c>
      <c r="P17" s="74" t="e">
        <f>MID(J16,FIND("'",J16,1)+1,FIND("""",J16,FIND("'",J16,1)+1)-FIND("'",J16,1)-1)</f>
        <v>#VALUE!</v>
      </c>
      <c r="Q17" s="74" t="b">
        <f>IF(AND(N16&gt;=20, N16&lt;=31),TRUE,FALSE)</f>
        <v>0</v>
      </c>
      <c r="R17" s="76" t="b">
        <f>IFERROR(AND(VALUE(O17)&lt;=59,VALUE(O17)&gt;=0),FALSE)</f>
        <v>0</v>
      </c>
      <c r="S17" s="76" t="b">
        <f>IFERROR(AND(VALUE(P17)&lt;=59,VALUE(P17)&gt;=0),FALSE)</f>
        <v>0</v>
      </c>
      <c r="T17" s="73" t="str">
        <f>IF(AND(ISNUMBER(J16),N16&gt;=20,N16&lt;=31),"LONG ok",IF(Q17=FALSE,"grade LONG nok",IF(R17=FALSE,"minute LONG nok",IF(S17=FALSE,"secunde LONG nok","LONG ok"))))</f>
        <v>grade LONG nok</v>
      </c>
    </row>
    <row r="18" spans="1:25" x14ac:dyDescent="0.25">
      <c r="A18" t="s">
        <v>28</v>
      </c>
      <c r="G18" s="84" t="s">
        <v>90</v>
      </c>
    </row>
    <row r="19" spans="1:25" x14ac:dyDescent="0.25">
      <c r="G19" s="84" t="s">
        <v>91</v>
      </c>
      <c r="I19">
        <f>'QAF628'!C51</f>
        <v>0</v>
      </c>
      <c r="J19">
        <f>'QAF628'!E51</f>
        <v>0</v>
      </c>
      <c r="K19" s="73">
        <f>VALUE(LEFT(I19,2))</f>
        <v>0</v>
      </c>
      <c r="L19" s="74" t="e">
        <f>VALUE(MID(I19,FIND("'",I19,1)-2,2)/60)</f>
        <v>#VALUE!</v>
      </c>
      <c r="M19" s="74" t="e">
        <f>VALUE(MID(I19,FIND("'",I19,1)+1,FIND("""",I19,FIND("'",I19,1)+1)-FIND("'",I19,1)-1))/3600</f>
        <v>#VALUE!</v>
      </c>
      <c r="N19" s="74">
        <f>VALUE(LEFT(J19,2))</f>
        <v>0</v>
      </c>
      <c r="O19" s="74" t="e">
        <f>VALUE(MID(J19,FIND("'",J19,1)-2,2)/60)</f>
        <v>#VALUE!</v>
      </c>
      <c r="P19" s="74" t="e">
        <f>VALUE(MID(J19,FIND("'",J19,1)+1,FIND("""",J19,FIND("'",J19,1)+1)-FIND("'",J19,1)-1))/3600</f>
        <v>#VALUE!</v>
      </c>
      <c r="Q19" s="74" t="b">
        <f>IF(AND(K19&gt;=42,K19&lt;=50),TRUE,FALSE)</f>
        <v>0</v>
      </c>
      <c r="R19" s="76" t="b">
        <f>IFERROR(AND(VALUE(L20)&lt;=59,VALUE(L20)&gt;=0),FALSE)</f>
        <v>0</v>
      </c>
      <c r="S19" s="76" t="b">
        <f>IFERROR(AND(VALUE(M20)&lt;=59,VALUE(M20)&gt;=0),FALSE)</f>
        <v>0</v>
      </c>
      <c r="T19" s="73" t="str">
        <f>IF(AND(ISNUMBER(I19),K19&gt;41,K19&lt;50),"LAT ok",IF(Q19=FALSE,"grade LAT nok",IF(R19=FALSE,"minute LAT nok",IF(S19=FALSE,"secunde LAT nok","LAT ok"))))</f>
        <v>grade LAT nok</v>
      </c>
      <c r="U19" s="72" t="b">
        <f>IF(ISNUMBER(M19+O19)=TRUE,TRUE,IF(AND(NOT(ISNUMBER(M19)),NOT(ISNUMBER(O19))),TRUE,FALSE))</f>
        <v>1</v>
      </c>
      <c r="V19" s="77" t="str">
        <f>IF(AND(ISNUMBER(I19),ISNUMBER(J19)),I19&amp;", "&amp;J19,VALUE(LEFT(K19+L19+M19,6))&amp;", "&amp; VALUE(LEFT(N19+O19+P19,6)))</f>
        <v>0, 0</v>
      </c>
      <c r="W19" s="80" t="str">
        <f>IF(AND(ISBLANK(I19),ISBLANK(J19)),"",IF(U19,T19&amp;", "&amp;T20,"nu e acelasi mod de completare"))</f>
        <v>grade LAT nok, grade LONG nok</v>
      </c>
      <c r="Y19" t="s">
        <v>392</v>
      </c>
    </row>
    <row r="20" spans="1:25" x14ac:dyDescent="0.25">
      <c r="G20" s="84" t="s">
        <v>92</v>
      </c>
      <c r="K20" s="75"/>
      <c r="L20" s="74" t="e">
        <f>MID(I19,FIND("'",I19,1)-2,2)</f>
        <v>#VALUE!</v>
      </c>
      <c r="M20" s="74" t="e">
        <f>MID(I19,FIND("'",I19,1)+1,FIND("""",I19,FIND("'",I19,1)+1)-FIND("'",I19,1)-1)</f>
        <v>#VALUE!</v>
      </c>
      <c r="N20" s="74"/>
      <c r="O20" s="74" t="e">
        <f>MID(J19,FIND("'",J19,1)-2,2)</f>
        <v>#VALUE!</v>
      </c>
      <c r="P20" s="74" t="e">
        <f>MID(J19,FIND("'",J19,1)+1,FIND("""",J19,FIND("'",J19,1)+1)-FIND("'",J19,1)-1)</f>
        <v>#VALUE!</v>
      </c>
      <c r="Q20" s="74" t="b">
        <f>IF(AND(N19&gt;=20, N19&lt;=31),TRUE,FALSE)</f>
        <v>0</v>
      </c>
      <c r="R20" s="76" t="b">
        <f>IFERROR(AND(VALUE(O20)&lt;=59,VALUE(O20)&gt;=0),FALSE)</f>
        <v>0</v>
      </c>
      <c r="S20" s="76" t="b">
        <f>IFERROR(AND(VALUE(P20)&lt;=59,VALUE(P20)&gt;=0),FALSE)</f>
        <v>0</v>
      </c>
      <c r="T20" s="73" t="str">
        <f>IF(AND(ISNUMBER(J19),N19&gt;=20,N19&lt;=31),"LONG ok",IF(Q20=FALSE,"grade LONG nok",IF(R20=FALSE,"minute LONG nok",IF(S20=FALSE,"secunde LONG nok","LONG ok"))))</f>
        <v>grade LONG nok</v>
      </c>
    </row>
    <row r="21" spans="1:25" x14ac:dyDescent="0.25">
      <c r="A21" t="s">
        <v>40</v>
      </c>
      <c r="G21" s="84" t="s">
        <v>93</v>
      </c>
    </row>
    <row r="22" spans="1:25" x14ac:dyDescent="0.25">
      <c r="A22" t="s">
        <v>41</v>
      </c>
      <c r="G22" s="84" t="s">
        <v>94</v>
      </c>
      <c r="I22">
        <f>'QAF628'!C52</f>
        <v>0</v>
      </c>
      <c r="J22">
        <f>'QAF628'!E52</f>
        <v>0</v>
      </c>
      <c r="K22" s="73">
        <f>VALUE(LEFT(I22,2))</f>
        <v>0</v>
      </c>
      <c r="L22" s="74" t="e">
        <f>VALUE(MID(I22,FIND("'",I22,1)-2,2)/60)</f>
        <v>#VALUE!</v>
      </c>
      <c r="M22" s="74" t="e">
        <f>VALUE(MID(I22,FIND("'",I22,1)+1,FIND("""",I22,FIND("'",I22,1)+1)-FIND("'",I22,1)-1))/3600</f>
        <v>#VALUE!</v>
      </c>
      <c r="N22" s="74">
        <f>VALUE(LEFT(J22,2))</f>
        <v>0</v>
      </c>
      <c r="O22" s="74" t="e">
        <f>VALUE(MID(J22,FIND("'",J22,1)-2,2)/60)</f>
        <v>#VALUE!</v>
      </c>
      <c r="P22" s="74" t="e">
        <f>VALUE(MID(J22,FIND("'",J22,1)+1,FIND("""",J22,FIND("'",J22,1)+1)-FIND("'",J22,1)-1))/3600</f>
        <v>#VALUE!</v>
      </c>
      <c r="Q22" s="74" t="b">
        <f>IF(AND(K22&gt;=42,K22&lt;=50),TRUE,FALSE)</f>
        <v>0</v>
      </c>
      <c r="R22" s="76" t="b">
        <f>IFERROR(AND(VALUE(L23)&lt;=59,VALUE(L23)&gt;=0),FALSE)</f>
        <v>0</v>
      </c>
      <c r="S22" s="76" t="b">
        <f>IFERROR(AND(VALUE(M23)&lt;=59,VALUE(M23)&gt;=0),FALSE)</f>
        <v>0</v>
      </c>
      <c r="T22" s="73" t="str">
        <f>IF(AND(ISNUMBER(I22),K22&gt;41,K22&lt;50),"LAT ok",IF(Q22=FALSE,"grade LAT nok",IF(R22=FALSE,"minute LAT nok",IF(S22=FALSE,"secunde LAT nok","LAT ok"))))</f>
        <v>grade LAT nok</v>
      </c>
      <c r="U22" s="72" t="b">
        <f>IF(ISNUMBER(M22+O22)=TRUE,TRUE,IF(AND(NOT(ISNUMBER(M22)),NOT(ISNUMBER(O22))),TRUE,FALSE))</f>
        <v>1</v>
      </c>
      <c r="V22" s="77" t="str">
        <f>IF(AND(ISNUMBER(I22),ISNUMBER(J22)),I22&amp;", "&amp;J22,VALUE(LEFT(K22+L22+M22,6))&amp;", "&amp; VALUE(LEFT(N22+O22+P22,6)))</f>
        <v>0, 0</v>
      </c>
      <c r="W22" s="80" t="str">
        <f>IF(AND(ISBLANK(I22),ISBLANK(J22)),"",IF(U22,T22&amp;", "&amp;T23,"nu e acelasi mod de completare"))</f>
        <v>grade LAT nok, grade LONG nok</v>
      </c>
      <c r="Y22" t="s">
        <v>393</v>
      </c>
    </row>
    <row r="23" spans="1:25" x14ac:dyDescent="0.25">
      <c r="G23" s="84" t="s">
        <v>95</v>
      </c>
      <c r="K23" s="75"/>
      <c r="L23" s="74" t="e">
        <f>MID(I22,FIND("'",I22,1)-2,2)</f>
        <v>#VALUE!</v>
      </c>
      <c r="M23" s="74" t="e">
        <f>MID(I22,FIND("'",I22,1)+1,FIND("""",I22,FIND("'",I22,1)+1)-FIND("'",I22,1)-1)</f>
        <v>#VALUE!</v>
      </c>
      <c r="N23" s="74"/>
      <c r="O23" s="74" t="e">
        <f>MID(J22,FIND("'",J22,1)-2,2)</f>
        <v>#VALUE!</v>
      </c>
      <c r="P23" s="74" t="e">
        <f>MID(J22,FIND("'",J22,1)+1,FIND("""",J22,FIND("'",J22,1)+1)-FIND("'",J22,1)-1)</f>
        <v>#VALUE!</v>
      </c>
      <c r="Q23" s="74" t="b">
        <f>IF(AND(N22&gt;=20, N22&lt;=31),TRUE,FALSE)</f>
        <v>0</v>
      </c>
      <c r="R23" s="76" t="b">
        <f>IFERROR(AND(VALUE(O23)&lt;=59,VALUE(O23)&gt;=0),FALSE)</f>
        <v>0</v>
      </c>
      <c r="S23" s="76" t="b">
        <f>IFERROR(AND(VALUE(P23)&lt;=59,VALUE(P23)&gt;=0),FALSE)</f>
        <v>0</v>
      </c>
      <c r="T23" s="73" t="str">
        <f>IF(AND(ISNUMBER(J22),N22&gt;=20,N22&lt;=31),"LONG ok",IF(Q23=FALSE,"grade LONG nok",IF(R23=FALSE,"minute LONG nok",IF(S23=FALSE,"secunde LONG nok","LONG ok"))))</f>
        <v>grade LONG nok</v>
      </c>
    </row>
    <row r="24" spans="1:25" x14ac:dyDescent="0.25">
      <c r="A24" t="s">
        <v>42</v>
      </c>
      <c r="G24" s="84" t="s">
        <v>96</v>
      </c>
    </row>
    <row r="25" spans="1:25" x14ac:dyDescent="0.25">
      <c r="A25" t="s">
        <v>43</v>
      </c>
      <c r="G25" s="84" t="s">
        <v>97</v>
      </c>
      <c r="I25">
        <f>'QAF628'!C53</f>
        <v>0</v>
      </c>
      <c r="J25">
        <f>'QAF628'!E53</f>
        <v>0</v>
      </c>
      <c r="K25" s="73">
        <f>VALUE(LEFT(I25,2))</f>
        <v>0</v>
      </c>
      <c r="L25" s="74" t="e">
        <f>VALUE(MID(I25,FIND("'",I25,1)-2,2)/60)</f>
        <v>#VALUE!</v>
      </c>
      <c r="M25" s="74" t="e">
        <f>VALUE(MID(I25,FIND("'",I25,1)+1,FIND("""",I25,FIND("'",I25,1)+1)-FIND("'",I25,1)-1))/3600</f>
        <v>#VALUE!</v>
      </c>
      <c r="N25" s="74">
        <f>VALUE(LEFT(J25,2))</f>
        <v>0</v>
      </c>
      <c r="O25" s="74" t="e">
        <f>VALUE(MID(J25,FIND("'",J25,1)-2,2)/60)</f>
        <v>#VALUE!</v>
      </c>
      <c r="P25" s="74" t="e">
        <f>VALUE(MID(J25,FIND("'",J25,1)+1,FIND("""",J25,FIND("'",J25,1)+1)-FIND("'",J25,1)-1))/3600</f>
        <v>#VALUE!</v>
      </c>
      <c r="Q25" s="74" t="b">
        <f>IF(AND(K25&gt;=42,K25&lt;=50),TRUE,FALSE)</f>
        <v>0</v>
      </c>
      <c r="R25" s="76" t="b">
        <f>IFERROR(AND(VALUE(L26)&lt;=59,VALUE(L26)&gt;=0),FALSE)</f>
        <v>0</v>
      </c>
      <c r="S25" s="76" t="b">
        <f>IFERROR(AND(VALUE(M26)&lt;=59,VALUE(M26)&gt;=0),FALSE)</f>
        <v>0</v>
      </c>
      <c r="T25" s="73" t="str">
        <f>IF(AND(ISNUMBER(I25),K25&gt;41,K25&lt;50),"LAT ok",IF(Q25=FALSE,"grade LAT nok",IF(R25=FALSE,"minute LAT nok",IF(S25=FALSE,"secunde LAT nok","LAT ok"))))</f>
        <v>grade LAT nok</v>
      </c>
      <c r="U25" s="72" t="b">
        <f>IF(ISNUMBER(M25+O25)=TRUE,TRUE,IF(AND(NOT(ISNUMBER(M25)),NOT(ISNUMBER(O25))),TRUE,FALSE))</f>
        <v>1</v>
      </c>
      <c r="V25" s="77" t="str">
        <f>IF(AND(ISNUMBER(I25),ISNUMBER(J25)),I25&amp;", "&amp;J25,VALUE(LEFT(K25+L25+M25,6))&amp;", "&amp; VALUE(LEFT(N25+O25+P25,6)))</f>
        <v>0, 0</v>
      </c>
      <c r="W25" s="80" t="str">
        <f>IF(AND(ISBLANK(I25),ISBLANK(J25)),"",IF(U25,T25&amp;", "&amp;T26,"nu e acelasi mod de completare"))</f>
        <v>grade LAT nok, grade LONG nok</v>
      </c>
      <c r="Y25" t="s">
        <v>394</v>
      </c>
    </row>
    <row r="26" spans="1:25" x14ac:dyDescent="0.25">
      <c r="G26" s="84" t="s">
        <v>98</v>
      </c>
      <c r="K26" s="75"/>
      <c r="L26" s="74" t="e">
        <f>MID(I25,FIND("'",I25,1)-2,2)</f>
        <v>#VALUE!</v>
      </c>
      <c r="M26" s="74" t="e">
        <f>MID(I25,FIND("'",I25,1)+1,FIND("""",I25,FIND("'",I25,1)+1)-FIND("'",I25,1)-1)</f>
        <v>#VALUE!</v>
      </c>
      <c r="N26" s="74"/>
      <c r="O26" s="74" t="e">
        <f>MID(J25,FIND("'",J25,1)-2,2)</f>
        <v>#VALUE!</v>
      </c>
      <c r="P26" s="74" t="e">
        <f>MID(J25,FIND("'",J25,1)+1,FIND("""",J25,FIND("'",J25,1)+1)-FIND("'",J25,1)-1)</f>
        <v>#VALUE!</v>
      </c>
      <c r="Q26" s="74" t="b">
        <f>IF(AND(N25&gt;=20, N25&lt;=31),TRUE,FALSE)</f>
        <v>0</v>
      </c>
      <c r="R26" s="76" t="b">
        <f>IFERROR(AND(VALUE(O26)&lt;=59,VALUE(O26)&gt;=0),FALSE)</f>
        <v>0</v>
      </c>
      <c r="S26" s="76" t="b">
        <f>IFERROR(AND(VALUE(P26)&lt;=59,VALUE(P26)&gt;=0),FALSE)</f>
        <v>0</v>
      </c>
      <c r="T26" s="73" t="str">
        <f>IF(AND(ISNUMBER(J25),N25&gt;=20,N25&lt;=31),"LONG ok",IF(Q26=FALSE,"grade LONG nok",IF(R26=FALSE,"minute LONG nok",IF(S26=FALSE,"secunde LONG nok","LONG ok"))))</f>
        <v>grade LONG nok</v>
      </c>
    </row>
    <row r="27" spans="1:25" x14ac:dyDescent="0.25">
      <c r="G27" s="84" t="s">
        <v>99</v>
      </c>
    </row>
    <row r="28" spans="1:25" x14ac:dyDescent="0.25">
      <c r="G28" s="84" t="s">
        <v>100</v>
      </c>
      <c r="I28">
        <f>'QAF628'!C54</f>
        <v>0</v>
      </c>
      <c r="J28">
        <f>'QAF628'!E54</f>
        <v>0</v>
      </c>
      <c r="K28" s="73">
        <f>VALUE(LEFT(I28,2))</f>
        <v>0</v>
      </c>
      <c r="L28" s="74" t="e">
        <f>VALUE(MID(I28,FIND("'",I28,1)-2,2)/60)</f>
        <v>#VALUE!</v>
      </c>
      <c r="M28" s="74" t="e">
        <f>VALUE(MID(I28,FIND("'",I28,1)+1,FIND("""",I28,FIND("'",I28,1)+1)-FIND("'",I28,1)-1))/3600</f>
        <v>#VALUE!</v>
      </c>
      <c r="N28" s="74">
        <f>VALUE(LEFT(J28,2))</f>
        <v>0</v>
      </c>
      <c r="O28" s="74" t="e">
        <f>VALUE(MID(J28,FIND("'",J28,1)-2,2)/60)</f>
        <v>#VALUE!</v>
      </c>
      <c r="P28" s="74" t="e">
        <f>VALUE(MID(J28,FIND("'",J28,1)+1,FIND("""",J28,FIND("'",J28,1)+1)-FIND("'",J28,1)-1))/3600</f>
        <v>#VALUE!</v>
      </c>
      <c r="Q28" s="74" t="b">
        <f>IF(AND(K28&gt;=42,K28&lt;=50),TRUE,FALSE)</f>
        <v>0</v>
      </c>
      <c r="R28" s="76" t="b">
        <f>IFERROR(AND(VALUE(L29)&lt;=59,VALUE(L29)&gt;=0),FALSE)</f>
        <v>0</v>
      </c>
      <c r="S28" s="76" t="b">
        <f>IFERROR(AND(VALUE(M29)&lt;=59,VALUE(M29)&gt;=0),FALSE)</f>
        <v>0</v>
      </c>
      <c r="T28" s="73" t="str">
        <f>IF(AND(ISNUMBER(I28),K28&gt;41,K28&lt;50),"LAT ok",IF(Q28=FALSE,"grade LAT nok",IF(R28=FALSE,"minute LAT nok",IF(S28=FALSE,"secunde LAT nok","LAT ok"))))</f>
        <v>grade LAT nok</v>
      </c>
      <c r="U28" s="72" t="b">
        <f>IF(ISNUMBER(M28+O28)=TRUE,TRUE,IF(AND(NOT(ISNUMBER(M28)),NOT(ISNUMBER(O28))),TRUE,FALSE))</f>
        <v>1</v>
      </c>
      <c r="V28" s="77" t="str">
        <f>IF(AND(ISNUMBER(I28),ISNUMBER(J28)),I28&amp;", "&amp;J28,VALUE(LEFT(K28+L28+M28,6))&amp;", "&amp; VALUE(LEFT(N28+O28+P28,6)))</f>
        <v>0, 0</v>
      </c>
      <c r="W28" s="80" t="str">
        <f>IF(AND(ISBLANK(I28),ISBLANK(J28)),"",IF(U28,T28&amp;", "&amp;T29,"nu e acelasi mod de completare"))</f>
        <v>grade LAT nok, grade LONG nok</v>
      </c>
      <c r="Y28" t="s">
        <v>395</v>
      </c>
    </row>
    <row r="29" spans="1:25" x14ac:dyDescent="0.25">
      <c r="G29" s="84" t="s">
        <v>101</v>
      </c>
      <c r="K29" s="75"/>
      <c r="L29" s="74" t="e">
        <f>MID(I28,FIND("'",I28,1)-2,2)</f>
        <v>#VALUE!</v>
      </c>
      <c r="M29" s="74" t="e">
        <f>MID(I28,FIND("'",I28,1)+1,FIND("""",I28,FIND("'",I28,1)+1)-FIND("'",I28,1)-1)</f>
        <v>#VALUE!</v>
      </c>
      <c r="N29" s="74"/>
      <c r="O29" s="74" t="e">
        <f>MID(J28,FIND("'",J28,1)-2,2)</f>
        <v>#VALUE!</v>
      </c>
      <c r="P29" s="74" t="e">
        <f>MID(J28,FIND("'",J28,1)+1,FIND("""",J28,FIND("'",J28,1)+1)-FIND("'",J28,1)-1)</f>
        <v>#VALUE!</v>
      </c>
      <c r="Q29" s="74" t="b">
        <f>IF(AND(N28&gt;=20, N28&lt;=31),TRUE,FALSE)</f>
        <v>0</v>
      </c>
      <c r="R29" s="76" t="b">
        <f>IFERROR(AND(VALUE(O29)&lt;=59,VALUE(O29)&gt;=0),FALSE)</f>
        <v>0</v>
      </c>
      <c r="S29" s="76" t="b">
        <f>IFERROR(AND(VALUE(P29)&lt;=59,VALUE(P29)&gt;=0),FALSE)</f>
        <v>0</v>
      </c>
      <c r="T29" s="73" t="str">
        <f>IF(AND(ISNUMBER(J28),N28&gt;=20,N28&lt;=31),"LONG ok",IF(Q29=FALSE,"grade LONG nok",IF(R29=FALSE,"minute LONG nok",IF(S29=FALSE,"secunde LONG nok","LONG ok"))))</f>
        <v>grade LONG nok</v>
      </c>
    </row>
    <row r="30" spans="1:25" x14ac:dyDescent="0.25">
      <c r="G30" s="84" t="s">
        <v>102</v>
      </c>
    </row>
    <row r="31" spans="1:25" x14ac:dyDescent="0.25">
      <c r="G31" s="84" t="s">
        <v>103</v>
      </c>
    </row>
    <row r="32" spans="1:25" x14ac:dyDescent="0.25">
      <c r="G32" s="84" t="s">
        <v>104</v>
      </c>
    </row>
    <row r="33" spans="7:7" x14ac:dyDescent="0.25">
      <c r="G33" s="84" t="s">
        <v>105</v>
      </c>
    </row>
    <row r="34" spans="7:7" x14ac:dyDescent="0.25">
      <c r="G34" s="84" t="s">
        <v>106</v>
      </c>
    </row>
    <row r="35" spans="7:7" x14ac:dyDescent="0.25">
      <c r="G35" s="84" t="s">
        <v>107</v>
      </c>
    </row>
    <row r="36" spans="7:7" x14ac:dyDescent="0.25">
      <c r="G36" s="84" t="s">
        <v>108</v>
      </c>
    </row>
    <row r="37" spans="7:7" x14ac:dyDescent="0.25">
      <c r="G37" s="84" t="s">
        <v>109</v>
      </c>
    </row>
    <row r="38" spans="7:7" x14ac:dyDescent="0.25">
      <c r="G38" s="84" t="s">
        <v>110</v>
      </c>
    </row>
    <row r="39" spans="7:7" x14ac:dyDescent="0.25">
      <c r="G39" s="84" t="s">
        <v>111</v>
      </c>
    </row>
    <row r="40" spans="7:7" x14ac:dyDescent="0.25">
      <c r="G40" s="84" t="s">
        <v>112</v>
      </c>
    </row>
    <row r="41" spans="7:7" x14ac:dyDescent="0.25">
      <c r="G41" s="84" t="s">
        <v>113</v>
      </c>
    </row>
    <row r="42" spans="7:7" x14ac:dyDescent="0.25">
      <c r="G42" s="84" t="s">
        <v>114</v>
      </c>
    </row>
    <row r="43" spans="7:7" x14ac:dyDescent="0.25">
      <c r="G43" s="84" t="s">
        <v>115</v>
      </c>
    </row>
  </sheetData>
  <sheetProtection password="846E"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86</vt:i4>
      </vt:variant>
    </vt:vector>
  </HeadingPairs>
  <TitlesOfParts>
    <vt:vector size="92" baseType="lpstr">
      <vt:lpstr>QAF628</vt:lpstr>
      <vt:lpstr>ORO Optical Materials</vt:lpstr>
      <vt:lpstr>Materials</vt:lpstr>
      <vt:lpstr>Services</vt:lpstr>
      <vt:lpstr>Name_manager</vt:lpstr>
      <vt:lpstr>Nu sterge</vt:lpstr>
      <vt:lpstr>Alte_observatii</vt:lpstr>
      <vt:lpstr>cable_cap</vt:lpstr>
      <vt:lpstr>Cam1_mapata_NICM</vt:lpstr>
      <vt:lpstr>Cam2_mapata_NICM</vt:lpstr>
      <vt:lpstr>Cam3_mapata_NICM</vt:lpstr>
      <vt:lpstr>Cam4_mapata_NICM</vt:lpstr>
      <vt:lpstr>Cauza</vt:lpstr>
      <vt:lpstr>data_finalizare_optic</vt:lpstr>
      <vt:lpstr>data_localizare_incident</vt:lpstr>
      <vt:lpstr>data_solicitare_interv</vt:lpstr>
      <vt:lpstr>data_sosire_in_zona_incident</vt:lpstr>
      <vt:lpstr>Descriere_incident</vt:lpstr>
      <vt:lpstr>Descriere_remediere</vt:lpstr>
      <vt:lpstr>distanta_fault1</vt:lpstr>
      <vt:lpstr>distanta_fault2</vt:lpstr>
      <vt:lpstr>EVR</vt:lpstr>
      <vt:lpstr>execute_contractor</vt:lpstr>
      <vt:lpstr>fisiere_atasate</vt:lpstr>
      <vt:lpstr>J1_mapata_NICM</vt:lpstr>
      <vt:lpstr>J1_to_A</vt:lpstr>
      <vt:lpstr>J1_to_B</vt:lpstr>
      <vt:lpstr>J2_mapata_NICM</vt:lpstr>
      <vt:lpstr>J2_to_A</vt:lpstr>
      <vt:lpstr>J2_to_B</vt:lpstr>
      <vt:lpstr>J3_mapata_NICM</vt:lpstr>
      <vt:lpstr>J3_to_A</vt:lpstr>
      <vt:lpstr>J3_to_B</vt:lpstr>
      <vt:lpstr>J4_mapata_NICM</vt:lpstr>
      <vt:lpstr>J4_to_A</vt:lpstr>
      <vt:lpstr>J4_to_B</vt:lpstr>
      <vt:lpstr>Judet</vt:lpstr>
      <vt:lpstr>link_C1</vt:lpstr>
      <vt:lpstr>link_C2</vt:lpstr>
      <vt:lpstr>link_C3</vt:lpstr>
      <vt:lpstr>link_C4</vt:lpstr>
      <vt:lpstr>link_incident1</vt:lpstr>
      <vt:lpstr>link_incident2</vt:lpstr>
      <vt:lpstr>link_J1</vt:lpstr>
      <vt:lpstr>link_J2</vt:lpstr>
      <vt:lpstr>link_J3</vt:lpstr>
      <vt:lpstr>link_J4</vt:lpstr>
      <vt:lpstr>locatie_masuratoare1</vt:lpstr>
      <vt:lpstr>locatie_masuratoare2</vt:lpstr>
      <vt:lpstr>masuratori_finale_fo_masurate</vt:lpstr>
      <vt:lpstr>masuratori_finale_ODF</vt:lpstr>
      <vt:lpstr>masuratori_finale_siteA</vt:lpstr>
      <vt:lpstr>masuratori_finale_toSiteB</vt:lpstr>
      <vt:lpstr>nume_c1_noua</vt:lpstr>
      <vt:lpstr>nume_c2_noua</vt:lpstr>
      <vt:lpstr>nume_c3_noua</vt:lpstr>
      <vt:lpstr>nume_c4_noua</vt:lpstr>
      <vt:lpstr>nume_j1_noua</vt:lpstr>
      <vt:lpstr>nume_j2_noua</vt:lpstr>
      <vt:lpstr>nume_j3_noua</vt:lpstr>
      <vt:lpstr>nume_j4_noua</vt:lpstr>
      <vt:lpstr>Nume_tronson</vt:lpstr>
      <vt:lpstr>Obs</vt:lpstr>
      <vt:lpstr>ora_finalizare_optic</vt:lpstr>
      <vt:lpstr>ora_localizare_incident</vt:lpstr>
      <vt:lpstr>ora_solicitare_interv</vt:lpstr>
      <vt:lpstr>ora_sosire_in_zona_incident</vt:lpstr>
      <vt:lpstr>Plecare</vt:lpstr>
      <vt:lpstr>Proposals</vt:lpstr>
      <vt:lpstr>qaf_code</vt:lpstr>
      <vt:lpstr>rezerva_J1_to_A</vt:lpstr>
      <vt:lpstr>rezerva_J1_to_B</vt:lpstr>
      <vt:lpstr>rezerva_J2_to_A</vt:lpstr>
      <vt:lpstr>rezerva_J2_to_B</vt:lpstr>
      <vt:lpstr>rezerva_J3_to_A</vt:lpstr>
      <vt:lpstr>rezerva_J3_to_B</vt:lpstr>
      <vt:lpstr>rezerva_J4_to_A</vt:lpstr>
      <vt:lpstr>rezerva_J4_to_B</vt:lpstr>
      <vt:lpstr>site_code_A</vt:lpstr>
      <vt:lpstr>site_code_B</vt:lpstr>
      <vt:lpstr>SLA</vt:lpstr>
      <vt:lpstr>Tip</vt:lpstr>
      <vt:lpstr>Tip_interv</vt:lpstr>
      <vt:lpstr>tip_j1</vt:lpstr>
      <vt:lpstr>tip_j2</vt:lpstr>
      <vt:lpstr>tip_j3</vt:lpstr>
      <vt:lpstr>tip_j4</vt:lpstr>
      <vt:lpstr>tip_jonctiune</vt:lpstr>
      <vt:lpstr>topologie_tronson</vt:lpstr>
      <vt:lpstr>validate_date</vt:lpstr>
      <vt:lpstr>validate_name</vt:lpstr>
      <vt:lpstr>validate_result</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BANICA Dragos</dc:creator>
  <cp:lastModifiedBy>Vladimir CARLAN</cp:lastModifiedBy>
  <cp:lastPrinted>2023-04-10T07:45:36Z</cp:lastPrinted>
  <dcterms:created xsi:type="dcterms:W3CDTF">2015-02-03T09:53:22Z</dcterms:created>
  <dcterms:modified xsi:type="dcterms:W3CDTF">2026-02-04T10:56:06Z</dcterms:modified>
</cp:coreProperties>
</file>